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esktop\projekt weekli\Opdateret produktdatabase\"/>
    </mc:Choice>
  </mc:AlternateContent>
  <xr:revisionPtr revIDLastSave="0" documentId="13_ncr:1_{E5155C04-8529-41C6-8449-41BF78A1D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1" l="1"/>
  <c r="G146" i="1"/>
  <c r="G145" i="1"/>
  <c r="G144" i="1"/>
  <c r="G143" i="1"/>
  <c r="G142" i="1"/>
  <c r="G137" i="1"/>
  <c r="G139" i="1"/>
  <c r="G140" i="1"/>
  <c r="G141" i="1"/>
  <c r="G2" i="1"/>
  <c r="G3" i="1"/>
  <c r="G4" i="1"/>
  <c r="G5" i="1"/>
  <c r="G6" i="1"/>
  <c r="G9" i="1"/>
  <c r="G10" i="1"/>
  <c r="G11" i="1"/>
  <c r="G12" i="1"/>
  <c r="G13" i="1"/>
  <c r="G14" i="1"/>
  <c r="G19" i="1"/>
  <c r="G20" i="1"/>
  <c r="G23" i="1"/>
  <c r="G24" i="1"/>
  <c r="G27" i="1"/>
  <c r="G29" i="1"/>
  <c r="G32" i="1"/>
  <c r="G33" i="1"/>
  <c r="G36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3" i="1"/>
  <c r="G74" i="1"/>
  <c r="G75" i="1"/>
  <c r="G76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6" i="1"/>
  <c r="G127" i="1"/>
  <c r="G128" i="1"/>
  <c r="G129" i="1"/>
  <c r="G130" i="1"/>
  <c r="G131" i="1"/>
  <c r="G132" i="1"/>
  <c r="G134" i="1"/>
</calcChain>
</file>

<file path=xl/sharedStrings.xml><?xml version="1.0" encoding="utf-8"?>
<sst xmlns="http://schemas.openxmlformats.org/spreadsheetml/2006/main" count="911" uniqueCount="367">
  <si>
    <t>Butik</t>
  </si>
  <si>
    <t>Kategori</t>
  </si>
  <si>
    <t>Produktnavn</t>
  </si>
  <si>
    <t>Normal pris i kr.</t>
  </si>
  <si>
    <t>Mængde</t>
  </si>
  <si>
    <t>Stk pris</t>
  </si>
  <si>
    <t>Mærke/land</t>
  </si>
  <si>
    <t>Vegetar</t>
  </si>
  <si>
    <t>På tilbud</t>
  </si>
  <si>
    <t>NETTO</t>
  </si>
  <si>
    <t xml:space="preserve">NETTO </t>
  </si>
  <si>
    <t>GULERØDDER</t>
  </si>
  <si>
    <t>TOMATER</t>
  </si>
  <si>
    <t>CHERRYTOMATER</t>
  </si>
  <si>
    <t>ICEBERGSALAT</t>
  </si>
  <si>
    <t>AGURK</t>
  </si>
  <si>
    <t>RØDLØG</t>
  </si>
  <si>
    <t>LØG</t>
  </si>
  <si>
    <t>KARTOFLER</t>
  </si>
  <si>
    <t>SPINAT</t>
  </si>
  <si>
    <t>PORRER</t>
  </si>
  <si>
    <t>PEBERFRUGT</t>
  </si>
  <si>
    <t>CHAMPIGNON</t>
  </si>
  <si>
    <t>FORÅRSLØG</t>
  </si>
  <si>
    <t>CITRON</t>
  </si>
  <si>
    <t>ÆBLER</t>
  </si>
  <si>
    <t>BROCCOLI</t>
  </si>
  <si>
    <t>GRØNKÅL</t>
  </si>
  <si>
    <t>BLOMKÅL</t>
  </si>
  <si>
    <t>PASTINAK</t>
  </si>
  <si>
    <t>AVOCADO</t>
  </si>
  <si>
    <t>RØDBEDER</t>
  </si>
  <si>
    <t>ÆRTER FROST</t>
  </si>
  <si>
    <t>SELLERI</t>
  </si>
  <si>
    <t>LIME</t>
  </si>
  <si>
    <t>HVIDLØG</t>
  </si>
  <si>
    <t>AUBERGINE</t>
  </si>
  <si>
    <t>KYLLINGEFILET</t>
  </si>
  <si>
    <t>HEL KYLLING</t>
  </si>
  <si>
    <t>KYLLINGELÅR</t>
  </si>
  <si>
    <t>HAKKET KYLLINGEKØD</t>
  </si>
  <si>
    <t>HAKKET OKSEKØD</t>
  </si>
  <si>
    <t>BØFFER</t>
  </si>
  <si>
    <t>HAKKET GRIS &amp; KALV</t>
  </si>
  <si>
    <t>OKSESTEG</t>
  </si>
  <si>
    <t>KEBAB</t>
  </si>
  <si>
    <t>GRISEMØRBRAD</t>
  </si>
  <si>
    <t>HAKKET GRISEKØD</t>
  </si>
  <si>
    <t>FLÆSK</t>
  </si>
  <si>
    <t>BACON TERN</t>
  </si>
  <si>
    <t>PØLSER</t>
  </si>
  <si>
    <t>COCKTAILPØLSER</t>
  </si>
  <si>
    <t>BACON SKIVER</t>
  </si>
  <si>
    <t>MEDISTER</t>
  </si>
  <si>
    <t>FLÆSKESTEG</t>
  </si>
  <si>
    <t>RIBBENSSTEG</t>
  </si>
  <si>
    <t>HAMBURGERRYG</t>
  </si>
  <si>
    <t>LAKSEFILET</t>
  </si>
  <si>
    <t>MØRKSEJ OG KULLERFILETER</t>
  </si>
  <si>
    <t>TORSK</t>
  </si>
  <si>
    <t>FISKEFARS</t>
  </si>
  <si>
    <t>REJER</t>
  </si>
  <si>
    <t>ÆG</t>
  </si>
  <si>
    <t>PARMESANOST</t>
  </si>
  <si>
    <t>FETA OST</t>
  </si>
  <si>
    <t>SALATOST</t>
  </si>
  <si>
    <t>OST</t>
  </si>
  <si>
    <t>HYTTEOST</t>
  </si>
  <si>
    <t>SMØREOST</t>
  </si>
  <si>
    <t>SMØR</t>
  </si>
  <si>
    <t>SMØRBAR</t>
  </si>
  <si>
    <t>MADLAVNINGSFLØDE</t>
  </si>
  <si>
    <t>FLØDEALTERNATIV</t>
  </si>
  <si>
    <t>GRÆSK YOGHURT</t>
  </si>
  <si>
    <t>SØDMÆLK</t>
  </si>
  <si>
    <t>MOZZARELLA</t>
  </si>
  <si>
    <t>CHEDDAR</t>
  </si>
  <si>
    <t>PISKEFLØDE</t>
  </si>
  <si>
    <t>LETMÆLK</t>
  </si>
  <si>
    <t>MINIMÆLK</t>
  </si>
  <si>
    <t>CREME FRAICHE</t>
  </si>
  <si>
    <t>TÆRTEDEJ</t>
  </si>
  <si>
    <t>PIZZADEJ</t>
  </si>
  <si>
    <t>BURGERBOLLER</t>
  </si>
  <si>
    <t>PITABRØD</t>
  </si>
  <si>
    <t>TORTILLAS</t>
  </si>
  <si>
    <t>RUGBRØD</t>
  </si>
  <si>
    <t>BULGUR</t>
  </si>
  <si>
    <t>JASMIN RIS</t>
  </si>
  <si>
    <t>BASMATI RIS</t>
  </si>
  <si>
    <t>RISPAPIR</t>
  </si>
  <si>
    <t>NUDLER</t>
  </si>
  <si>
    <t>RISNUDLER</t>
  </si>
  <si>
    <t>SPAGHETTI</t>
  </si>
  <si>
    <t>PASTA</t>
  </si>
  <si>
    <t>HAKKEDE TOMATER</t>
  </si>
  <si>
    <t>KOKOSMÆLK</t>
  </si>
  <si>
    <t>TOMATPURE</t>
  </si>
  <si>
    <t>DÅSEMAJS</t>
  </si>
  <si>
    <t>HAVREGRYN</t>
  </si>
  <si>
    <t>GRØN PESTO</t>
  </si>
  <si>
    <t>RØD PESTO</t>
  </si>
  <si>
    <t>HALLOUMI</t>
  </si>
  <si>
    <t>KIKÆRTER</t>
  </si>
  <si>
    <t>SORTE BØNNER</t>
  </si>
  <si>
    <t>KIDNEYBØNNER</t>
  </si>
  <si>
    <t>TOFU</t>
  </si>
  <si>
    <t>FALAFEL</t>
  </si>
  <si>
    <t>SPLITLINSER</t>
  </si>
  <si>
    <t>GRØNNE LINSER</t>
  </si>
  <si>
    <t>SQUASH</t>
  </si>
  <si>
    <t>SPIDSKÅL</t>
  </si>
  <si>
    <t>RØDKÅL</t>
  </si>
  <si>
    <t>SØDE KARTOFLER</t>
  </si>
  <si>
    <t>HVIDKÅL</t>
  </si>
  <si>
    <t>gulerødder</t>
  </si>
  <si>
    <t xml:space="preserve">tomater løse </t>
  </si>
  <si>
    <t xml:space="preserve">tomater </t>
  </si>
  <si>
    <t>cherryblomme tomater</t>
  </si>
  <si>
    <t>tomater snack</t>
  </si>
  <si>
    <t>icebergsalat</t>
  </si>
  <si>
    <t>agurk</t>
  </si>
  <si>
    <t>rødløg</t>
  </si>
  <si>
    <t>løg</t>
  </si>
  <si>
    <t>kartofler</t>
  </si>
  <si>
    <t>kartofler øko</t>
  </si>
  <si>
    <t>babyspinat øko</t>
  </si>
  <si>
    <t>spinat</t>
  </si>
  <si>
    <t>porer i bundt</t>
  </si>
  <si>
    <t>porrer øko</t>
  </si>
  <si>
    <t>peberfrugter røde</t>
  </si>
  <si>
    <t xml:space="preserve">peberfrugter </t>
  </si>
  <si>
    <t>hvide champignon</t>
  </si>
  <si>
    <t>forårsløg i bundt</t>
  </si>
  <si>
    <t>citroner løse</t>
  </si>
  <si>
    <t>citroner øko</t>
  </si>
  <si>
    <t>æbler</t>
  </si>
  <si>
    <t xml:space="preserve">æbler løse </t>
  </si>
  <si>
    <t>broccoli</t>
  </si>
  <si>
    <t>snittet grønkål</t>
  </si>
  <si>
    <t>blomkål</t>
  </si>
  <si>
    <t>pastinakker øko</t>
  </si>
  <si>
    <t>avocado</t>
  </si>
  <si>
    <t>spisemodne avocadoer</t>
  </si>
  <si>
    <t>rødbeder øko</t>
  </si>
  <si>
    <t>danske fine ærter</t>
  </si>
  <si>
    <t>knoldselleri</t>
  </si>
  <si>
    <t>lime løse</t>
  </si>
  <si>
    <t xml:space="preserve">hvidløg </t>
  </si>
  <si>
    <t>aubergine</t>
  </si>
  <si>
    <t>kyllingebrystfilet tilsat 9% vand</t>
  </si>
  <si>
    <t>kyllingeinderfilet</t>
  </si>
  <si>
    <t>kyllingebrystfilet</t>
  </si>
  <si>
    <t>hel kylling</t>
  </si>
  <si>
    <t xml:space="preserve">kyllingeunderlår </t>
  </si>
  <si>
    <t>kyllingeoverlår m. rygben</t>
  </si>
  <si>
    <t>hakket kylling med 7-10% fedt</t>
  </si>
  <si>
    <t>hakket kyllingekød 3-7% fedt</t>
  </si>
  <si>
    <t xml:space="preserve">steak m. marinade </t>
  </si>
  <si>
    <t xml:space="preserve">hakket grise- og kalvekød 8-12% </t>
  </si>
  <si>
    <t>oksecuvette</t>
  </si>
  <si>
    <t>oksekebab</t>
  </si>
  <si>
    <t>flæsk</t>
  </si>
  <si>
    <t>bacon i tern</t>
  </si>
  <si>
    <t>hotdogpølser</t>
  </si>
  <si>
    <t>cocktailpølser</t>
  </si>
  <si>
    <t>bacon i skiver</t>
  </si>
  <si>
    <t>medister</t>
  </si>
  <si>
    <t>flæskesteg</t>
  </si>
  <si>
    <t>ribbenssteg</t>
  </si>
  <si>
    <t>røget hamburgerryg</t>
  </si>
  <si>
    <t xml:space="preserve">lakseside </t>
  </si>
  <si>
    <t>laksefilet</t>
  </si>
  <si>
    <t>mørksej fiskeloins</t>
  </si>
  <si>
    <t xml:space="preserve">torskeportioner (frost) </t>
  </si>
  <si>
    <t>lakse- og torskefars</t>
  </si>
  <si>
    <t>rejer i lage</t>
  </si>
  <si>
    <t>skrabeæg m/l</t>
  </si>
  <si>
    <t xml:space="preserve">fast ost 32+ </t>
  </si>
  <si>
    <t>revet grana padano 28% fedt</t>
  </si>
  <si>
    <t>salatost i blok naturel 21% fedt</t>
  </si>
  <si>
    <t>salatost i tern</t>
  </si>
  <si>
    <t>havarti 60+</t>
  </si>
  <si>
    <t>hytteost naturel 4% fedt</t>
  </si>
  <si>
    <t>hytteost 4% fedt</t>
  </si>
  <si>
    <t>flødeost naturel 16% fedt laktosefri</t>
  </si>
  <si>
    <t xml:space="preserve">saltet smør </t>
  </si>
  <si>
    <t>saltet smørbar</t>
  </si>
  <si>
    <t>madlavningsfløde 8% fedt</t>
  </si>
  <si>
    <t>madlavningsfløde 15% fedt</t>
  </si>
  <si>
    <t>cremefine 7% fedt</t>
  </si>
  <si>
    <t>græsk yoghurt 10% fedt</t>
  </si>
  <si>
    <t>græsk yoghurt 10% fedt laktosefri</t>
  </si>
  <si>
    <t>sødmælk 3,5% fedt</t>
  </si>
  <si>
    <t>mozazarella 19% fedt</t>
  </si>
  <si>
    <t>revet mozarella ost</t>
  </si>
  <si>
    <t>revet rød cheddar</t>
  </si>
  <si>
    <t xml:space="preserve">rød cheddar </t>
  </si>
  <si>
    <t xml:space="preserve">piskefløde </t>
  </si>
  <si>
    <t>piskefløde 36% fedt</t>
  </si>
  <si>
    <t>letmælk 1,5% fedt</t>
  </si>
  <si>
    <t>minimælk 0,4% fedt</t>
  </si>
  <si>
    <t>fraiche af syrnet fløde 9% fedt</t>
  </si>
  <si>
    <t>fraiche 5% fedt</t>
  </si>
  <si>
    <t>tærtedej</t>
  </si>
  <si>
    <t>pizzadej</t>
  </si>
  <si>
    <t>burgerboller</t>
  </si>
  <si>
    <t>pitabrød</t>
  </si>
  <si>
    <t>tortillas</t>
  </si>
  <si>
    <t>mørkt rugbrød</t>
  </si>
  <si>
    <t>øgo bulgur 400g øgo</t>
  </si>
  <si>
    <t xml:space="preserve">jasminris </t>
  </si>
  <si>
    <t>basmatiris</t>
  </si>
  <si>
    <t>rispapair</t>
  </si>
  <si>
    <t>nudler</t>
  </si>
  <si>
    <t>risnudler</t>
  </si>
  <si>
    <t>spaghetti</t>
  </si>
  <si>
    <t>fusilli</t>
  </si>
  <si>
    <t>hakkede tomater øko</t>
  </si>
  <si>
    <t xml:space="preserve">kokosmælk </t>
  </si>
  <si>
    <t>tomatkoncentrat</t>
  </si>
  <si>
    <t>majs</t>
  </si>
  <si>
    <t>finvalsede havregryn</t>
  </si>
  <si>
    <t>grøn pesto</t>
  </si>
  <si>
    <t>rød pesto</t>
  </si>
  <si>
    <t>grillost</t>
  </si>
  <si>
    <t>kikærter øko</t>
  </si>
  <si>
    <t>sorte bønner øko</t>
  </si>
  <si>
    <t>tofu øko</t>
  </si>
  <si>
    <t>marineret tofu m. soja, hvidløg</t>
  </si>
  <si>
    <t>falafler øko</t>
  </si>
  <si>
    <t>røde splitlinser øko</t>
  </si>
  <si>
    <t xml:space="preserve">øgo grønne linser </t>
  </si>
  <si>
    <t>squask øko</t>
  </si>
  <si>
    <t>rucola øko</t>
  </si>
  <si>
    <t>spidskål</t>
  </si>
  <si>
    <t>rød spidskål</t>
  </si>
  <si>
    <t>søde kartofler øko</t>
  </si>
  <si>
    <t>hvidkål</t>
  </si>
  <si>
    <t>1000</t>
  </si>
  <si>
    <t>120</t>
  </si>
  <si>
    <t>500</t>
  </si>
  <si>
    <t>400</t>
  </si>
  <si>
    <t>200</t>
  </si>
  <si>
    <t>1</t>
  </si>
  <si>
    <t>2000</t>
  </si>
  <si>
    <t>75</t>
  </si>
  <si>
    <t>250</t>
  </si>
  <si>
    <t>2</t>
  </si>
  <si>
    <t>3</t>
  </si>
  <si>
    <t>150</t>
  </si>
  <si>
    <t>6</t>
  </si>
  <si>
    <t>700</t>
  </si>
  <si>
    <t>1500</t>
  </si>
  <si>
    <t>300</t>
  </si>
  <si>
    <t>450</t>
  </si>
  <si>
    <t>325</t>
  </si>
  <si>
    <t>900</t>
  </si>
  <si>
    <t>600</t>
  </si>
  <si>
    <t>225</t>
  </si>
  <si>
    <t>10</t>
  </si>
  <si>
    <t>140</t>
  </si>
  <si>
    <t>125</t>
  </si>
  <si>
    <t>275</t>
  </si>
  <si>
    <t>330</t>
  </si>
  <si>
    <t>370</t>
  </si>
  <si>
    <t>100</t>
  </si>
  <si>
    <t>385</t>
  </si>
  <si>
    <t>190</t>
  </si>
  <si>
    <t>246</t>
  </si>
  <si>
    <t>252</t>
  </si>
  <si>
    <t>180</t>
  </si>
  <si>
    <t>260</t>
  </si>
  <si>
    <t>g</t>
  </si>
  <si>
    <t>stk</t>
  </si>
  <si>
    <t>nan</t>
  </si>
  <si>
    <t>ml</t>
  </si>
  <si>
    <t>salling</t>
  </si>
  <si>
    <t>se varen</t>
  </si>
  <si>
    <t>snack bag</t>
  </si>
  <si>
    <t xml:space="preserve">salling </t>
  </si>
  <si>
    <t>salling øko</t>
  </si>
  <si>
    <t>salling nu</t>
  </si>
  <si>
    <t>harvest best</t>
  </si>
  <si>
    <t>danpo</t>
  </si>
  <si>
    <t>rose</t>
  </si>
  <si>
    <t>velsmag</t>
  </si>
  <si>
    <t xml:space="preserve">velsmag </t>
  </si>
  <si>
    <t>næmt</t>
  </si>
  <si>
    <t>egelykke</t>
  </si>
  <si>
    <t>pølsemesteren</t>
  </si>
  <si>
    <t>brunchy</t>
  </si>
  <si>
    <t>danish crown</t>
  </si>
  <si>
    <t>navito</t>
  </si>
  <si>
    <t>polar seafood</t>
  </si>
  <si>
    <t>dava</t>
  </si>
  <si>
    <t>zanetti</t>
  </si>
  <si>
    <t>taverna</t>
  </si>
  <si>
    <t>arla karolines køkken</t>
  </si>
  <si>
    <t>mammen</t>
  </si>
  <si>
    <t>arla lactofree</t>
  </si>
  <si>
    <t>lurpak</t>
  </si>
  <si>
    <t>cremefine</t>
  </si>
  <si>
    <t>athena</t>
  </si>
  <si>
    <t>arla 24</t>
  </si>
  <si>
    <t>fellino</t>
  </si>
  <si>
    <t>la campagna</t>
  </si>
  <si>
    <t>tasty cheese</t>
  </si>
  <si>
    <t xml:space="preserve">la campagna </t>
  </si>
  <si>
    <t>cheasy</t>
  </si>
  <si>
    <t>bakersfield</t>
  </si>
  <si>
    <t xml:space="preserve">mex &amp; co. </t>
  </si>
  <si>
    <t>gamle mølle</t>
  </si>
  <si>
    <t>øgo</t>
  </si>
  <si>
    <t>rice market</t>
  </si>
  <si>
    <t>asian kitchen</t>
  </si>
  <si>
    <t>breakfast from bells</t>
  </si>
  <si>
    <t>spir</t>
  </si>
  <si>
    <t>lunter</t>
  </si>
  <si>
    <t>naturli</t>
  </si>
  <si>
    <t>Enhed (g/ml/stk)</t>
  </si>
  <si>
    <t>Kilopris/Literpris</t>
  </si>
  <si>
    <t>RUCOLA</t>
  </si>
  <si>
    <t>røde kidneybønner i chilisauce</t>
  </si>
  <si>
    <t xml:space="preserve">røde kidneybønner </t>
  </si>
  <si>
    <t>MASCARPONE</t>
  </si>
  <si>
    <t>mascarpone 42% fedt</t>
  </si>
  <si>
    <t>RØD KARRYPASTA</t>
  </si>
  <si>
    <t>rød karrypasta</t>
  </si>
  <si>
    <t>PEPPERONI</t>
  </si>
  <si>
    <t>PARMA/SERRANOSKINE</t>
  </si>
  <si>
    <t>serranoskinke</t>
  </si>
  <si>
    <t>pepperoni i skiver</t>
  </si>
  <si>
    <t>TACOSKALLER</t>
  </si>
  <si>
    <t>tacoskaller</t>
  </si>
  <si>
    <t>EDAMAME BØNNER</t>
  </si>
  <si>
    <t>edamamebønner</t>
  </si>
  <si>
    <t>FLUTE</t>
  </si>
  <si>
    <t>baguette</t>
  </si>
  <si>
    <t>PAK CHOI</t>
  </si>
  <si>
    <t>SYLTEDE RØDBEDER</t>
  </si>
  <si>
    <t>syltede rødbeder</t>
  </si>
  <si>
    <t>samsø syltefabrik</t>
  </si>
  <si>
    <t>KOTELETTER</t>
  </si>
  <si>
    <t>MORNAYSAUCE</t>
  </si>
  <si>
    <t>mornaysauce</t>
  </si>
  <si>
    <t>LASAGNEPLADER</t>
  </si>
  <si>
    <t>lagsagneplader</t>
  </si>
  <si>
    <t>REVET OST</t>
  </si>
  <si>
    <t>FROSNE BØNNER</t>
  </si>
  <si>
    <t>grønne bønner</t>
  </si>
  <si>
    <t>SYLTET RØDKÅL</t>
  </si>
  <si>
    <t>syltet rødkål</t>
  </si>
  <si>
    <t>SYLTEDE AGURKER</t>
  </si>
  <si>
    <t>syltede drueagurker</t>
  </si>
  <si>
    <t>HVIDE ASPARGES</t>
  </si>
  <si>
    <t>hvide aspargessnitter m. hoved</t>
  </si>
  <si>
    <t>TARTELETTER</t>
  </si>
  <si>
    <t>tarteletter</t>
  </si>
  <si>
    <t>bagerkompagniet</t>
  </si>
  <si>
    <t>PULLED PORK/CHICKEN</t>
  </si>
  <si>
    <t>pulled pork</t>
  </si>
  <si>
    <t>FISKEFILET</t>
  </si>
  <si>
    <t>panerede fiskefileter</t>
  </si>
  <si>
    <t>danske nakkekoteletter</t>
  </si>
  <si>
    <t>hakket oksekød 14-18%</t>
  </si>
  <si>
    <t>hakket grisekød 8-12%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</si>
</sst>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abSelected="1" topLeftCell="A72" zoomScale="89" workbookViewId="0">
      <selection activeCell="B92" sqref="B92"/>
    </sheetView>
  </sheetViews>
  <sheetFormatPr defaultColWidth="8.77734375" defaultRowHeight="14.4" x14ac:dyDescent="0.3"/>
  <cols>
    <col min="2" max="2" width="28" customWidth="1"/>
    <col min="3" max="3" width="28.6640625" customWidth="1"/>
    <col min="4" max="4" width="18.88671875" customWidth="1"/>
    <col min="5" max="5" width="12.77734375" customWidth="1"/>
    <col min="6" max="6" width="23.44140625" customWidth="1"/>
    <col min="7" max="7" width="18.33203125" customWidth="1"/>
    <col min="8" max="8" width="18.77734375" customWidth="1"/>
    <col min="9" max="9" width="15.6640625" customWidth="1"/>
    <col min="10" max="10" width="17" bestFit="1" customWidth="1"/>
  </cols>
  <sheetData>
    <row r="1" spans="1:1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320</v>
      </c>
      <c r="G1" s="1" t="s">
        <v>321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t="s">
        <v>9</v>
      </c>
      <c r="B2" t="s">
        <v>11</v>
      </c>
      <c r="C2" t="s">
        <v>115</v>
      </c>
      <c r="D2">
        <v>11</v>
      </c>
      <c r="E2" t="s">
        <v>239</v>
      </c>
      <c r="F2" t="s">
        <v>273</v>
      </c>
      <c r="G2" s="2">
        <f>D2/E2*1000</f>
        <v>11</v>
      </c>
      <c r="I2" t="s">
        <v>277</v>
      </c>
      <c r="J2" t="b">
        <v>1</v>
      </c>
      <c r="K2" t="b">
        <v>0</v>
      </c>
    </row>
    <row r="3" spans="1:11" x14ac:dyDescent="0.3">
      <c r="A3" t="s">
        <v>9</v>
      </c>
      <c r="B3" t="s">
        <v>12</v>
      </c>
      <c r="C3" t="s">
        <v>116</v>
      </c>
      <c r="D3">
        <v>3.25</v>
      </c>
      <c r="E3" t="s">
        <v>240</v>
      </c>
      <c r="F3" t="s">
        <v>273</v>
      </c>
      <c r="G3" s="2">
        <f>D3/E3*1000</f>
        <v>27.083333333333336</v>
      </c>
      <c r="H3">
        <v>3.25</v>
      </c>
      <c r="I3" t="s">
        <v>278</v>
      </c>
      <c r="J3" t="b">
        <v>1</v>
      </c>
      <c r="K3" t="b">
        <v>0</v>
      </c>
    </row>
    <row r="4" spans="1:11" x14ac:dyDescent="0.3">
      <c r="A4" t="s">
        <v>9</v>
      </c>
      <c r="B4" t="s">
        <v>12</v>
      </c>
      <c r="C4" t="s">
        <v>117</v>
      </c>
      <c r="D4">
        <v>16</v>
      </c>
      <c r="E4" t="s">
        <v>241</v>
      </c>
      <c r="F4" t="s">
        <v>273</v>
      </c>
      <c r="G4" s="2">
        <f>D4/E4*1000</f>
        <v>32</v>
      </c>
      <c r="I4" t="s">
        <v>277</v>
      </c>
      <c r="J4" t="b">
        <v>1</v>
      </c>
      <c r="K4" t="b">
        <v>0</v>
      </c>
    </row>
    <row r="5" spans="1:11" x14ac:dyDescent="0.3">
      <c r="A5" t="s">
        <v>9</v>
      </c>
      <c r="B5" t="s">
        <v>13</v>
      </c>
      <c r="C5" t="s">
        <v>118</v>
      </c>
      <c r="D5">
        <v>20</v>
      </c>
      <c r="E5" t="s">
        <v>242</v>
      </c>
      <c r="F5" t="s">
        <v>273</v>
      </c>
      <c r="G5" s="2">
        <f t="shared" ref="G5:G68" si="0">D5/E5*1000</f>
        <v>50</v>
      </c>
      <c r="I5" t="s">
        <v>278</v>
      </c>
      <c r="J5" t="b">
        <v>1</v>
      </c>
      <c r="K5" t="b">
        <v>0</v>
      </c>
    </row>
    <row r="6" spans="1:11" x14ac:dyDescent="0.3">
      <c r="A6" t="s">
        <v>9</v>
      </c>
      <c r="B6" t="s">
        <v>13</v>
      </c>
      <c r="C6" t="s">
        <v>119</v>
      </c>
      <c r="D6">
        <v>13</v>
      </c>
      <c r="E6" t="s">
        <v>243</v>
      </c>
      <c r="F6" t="s">
        <v>273</v>
      </c>
      <c r="G6" s="2">
        <f t="shared" si="0"/>
        <v>65</v>
      </c>
      <c r="I6" t="s">
        <v>279</v>
      </c>
      <c r="J6" t="b">
        <v>1</v>
      </c>
      <c r="K6" t="b">
        <v>0</v>
      </c>
    </row>
    <row r="7" spans="1:11" x14ac:dyDescent="0.3">
      <c r="A7" t="s">
        <v>9</v>
      </c>
      <c r="B7" t="s">
        <v>14</v>
      </c>
      <c r="C7" t="s">
        <v>120</v>
      </c>
      <c r="D7">
        <v>12</v>
      </c>
      <c r="E7" t="s">
        <v>244</v>
      </c>
      <c r="F7" t="s">
        <v>274</v>
      </c>
      <c r="G7" s="2"/>
      <c r="H7">
        <v>12</v>
      </c>
      <c r="I7" t="s">
        <v>277</v>
      </c>
      <c r="J7" t="b">
        <v>1</v>
      </c>
      <c r="K7" t="b">
        <v>0</v>
      </c>
    </row>
    <row r="8" spans="1:11" x14ac:dyDescent="0.3">
      <c r="A8" t="s">
        <v>9</v>
      </c>
      <c r="B8" t="s">
        <v>15</v>
      </c>
      <c r="C8" t="s">
        <v>121</v>
      </c>
      <c r="D8">
        <v>10</v>
      </c>
      <c r="E8" t="s">
        <v>244</v>
      </c>
      <c r="F8" t="s">
        <v>274</v>
      </c>
      <c r="G8" s="2"/>
      <c r="H8">
        <v>10</v>
      </c>
      <c r="I8" t="s">
        <v>277</v>
      </c>
      <c r="J8" t="b">
        <v>1</v>
      </c>
      <c r="K8" t="b">
        <v>0</v>
      </c>
    </row>
    <row r="9" spans="1:11" x14ac:dyDescent="0.3">
      <c r="A9" t="s">
        <v>9</v>
      </c>
      <c r="B9" t="s">
        <v>16</v>
      </c>
      <c r="C9" t="s">
        <v>122</v>
      </c>
      <c r="D9">
        <v>8</v>
      </c>
      <c r="E9" t="s">
        <v>241</v>
      </c>
      <c r="F9" t="s">
        <v>273</v>
      </c>
      <c r="G9" s="2">
        <f t="shared" si="0"/>
        <v>16</v>
      </c>
      <c r="I9" t="s">
        <v>277</v>
      </c>
      <c r="J9" t="b">
        <v>1</v>
      </c>
      <c r="K9" t="b">
        <v>0</v>
      </c>
    </row>
    <row r="10" spans="1:11" x14ac:dyDescent="0.3">
      <c r="A10" t="s">
        <v>9</v>
      </c>
      <c r="B10" t="s">
        <v>17</v>
      </c>
      <c r="C10" t="s">
        <v>123</v>
      </c>
      <c r="D10">
        <v>12</v>
      </c>
      <c r="E10" t="s">
        <v>239</v>
      </c>
      <c r="F10" t="s">
        <v>273</v>
      </c>
      <c r="G10" s="2">
        <f t="shared" si="0"/>
        <v>12</v>
      </c>
      <c r="I10" t="s">
        <v>277</v>
      </c>
      <c r="J10" t="b">
        <v>1</v>
      </c>
      <c r="K10" t="b">
        <v>0</v>
      </c>
    </row>
    <row r="11" spans="1:11" x14ac:dyDescent="0.3">
      <c r="A11" t="s">
        <v>9</v>
      </c>
      <c r="B11" t="s">
        <v>18</v>
      </c>
      <c r="C11" t="s">
        <v>124</v>
      </c>
      <c r="D11">
        <v>20</v>
      </c>
      <c r="E11" t="s">
        <v>245</v>
      </c>
      <c r="F11" t="s">
        <v>273</v>
      </c>
      <c r="G11" s="2">
        <f t="shared" si="0"/>
        <v>10</v>
      </c>
      <c r="I11" t="s">
        <v>277</v>
      </c>
      <c r="J11" t="b">
        <v>1</v>
      </c>
      <c r="K11" t="b">
        <v>0</v>
      </c>
    </row>
    <row r="12" spans="1:11" x14ac:dyDescent="0.3">
      <c r="A12" t="s">
        <v>9</v>
      </c>
      <c r="B12" t="s">
        <v>18</v>
      </c>
      <c r="C12" t="s">
        <v>125</v>
      </c>
      <c r="D12">
        <v>14</v>
      </c>
      <c r="E12" t="s">
        <v>239</v>
      </c>
      <c r="F12" t="s">
        <v>273</v>
      </c>
      <c r="G12" s="2">
        <f t="shared" si="0"/>
        <v>14</v>
      </c>
      <c r="I12" t="s">
        <v>277</v>
      </c>
      <c r="J12" t="b">
        <v>1</v>
      </c>
      <c r="K12" t="b">
        <v>0</v>
      </c>
    </row>
    <row r="13" spans="1:11" x14ac:dyDescent="0.3">
      <c r="A13" t="s">
        <v>9</v>
      </c>
      <c r="B13" t="s">
        <v>19</v>
      </c>
      <c r="C13" t="s">
        <v>126</v>
      </c>
      <c r="D13">
        <v>11</v>
      </c>
      <c r="E13" t="s">
        <v>246</v>
      </c>
      <c r="F13" t="s">
        <v>273</v>
      </c>
      <c r="G13" s="2">
        <f t="shared" si="0"/>
        <v>146.66666666666666</v>
      </c>
      <c r="I13" t="s">
        <v>278</v>
      </c>
      <c r="J13" t="b">
        <v>1</v>
      </c>
      <c r="K13" t="b">
        <v>0</v>
      </c>
    </row>
    <row r="14" spans="1:11" x14ac:dyDescent="0.3">
      <c r="A14" t="s">
        <v>9</v>
      </c>
      <c r="B14" t="s">
        <v>19</v>
      </c>
      <c r="C14" t="s">
        <v>127</v>
      </c>
      <c r="D14">
        <v>19</v>
      </c>
      <c r="E14" t="s">
        <v>247</v>
      </c>
      <c r="F14" t="s">
        <v>273</v>
      </c>
      <c r="G14" s="2">
        <f t="shared" si="0"/>
        <v>76</v>
      </c>
      <c r="I14" t="s">
        <v>277</v>
      </c>
      <c r="J14" t="b">
        <v>1</v>
      </c>
      <c r="K14" t="b">
        <v>0</v>
      </c>
    </row>
    <row r="15" spans="1:11" x14ac:dyDescent="0.3">
      <c r="A15" t="s">
        <v>9</v>
      </c>
      <c r="B15" t="s">
        <v>20</v>
      </c>
      <c r="C15" t="s">
        <v>128</v>
      </c>
      <c r="D15">
        <v>14</v>
      </c>
      <c r="E15" t="s">
        <v>248</v>
      </c>
      <c r="F15" t="s">
        <v>274</v>
      </c>
      <c r="G15" s="2"/>
      <c r="I15" t="s">
        <v>280</v>
      </c>
      <c r="J15" t="b">
        <v>1</v>
      </c>
      <c r="K15" t="b">
        <v>0</v>
      </c>
    </row>
    <row r="16" spans="1:11" x14ac:dyDescent="0.3">
      <c r="A16" t="s">
        <v>9</v>
      </c>
      <c r="B16" t="s">
        <v>20</v>
      </c>
      <c r="C16" t="s">
        <v>129</v>
      </c>
      <c r="D16">
        <v>9</v>
      </c>
      <c r="E16" t="s">
        <v>244</v>
      </c>
      <c r="F16" t="s">
        <v>274</v>
      </c>
      <c r="G16" s="2"/>
      <c r="I16" t="s">
        <v>281</v>
      </c>
      <c r="J16" t="b">
        <v>1</v>
      </c>
      <c r="K16" t="b">
        <v>0</v>
      </c>
    </row>
    <row r="17" spans="1:11" x14ac:dyDescent="0.3">
      <c r="A17" t="s">
        <v>9</v>
      </c>
      <c r="B17" t="s">
        <v>21</v>
      </c>
      <c r="C17" t="s">
        <v>130</v>
      </c>
      <c r="D17">
        <v>9</v>
      </c>
      <c r="E17" t="s">
        <v>244</v>
      </c>
      <c r="F17" t="s">
        <v>274</v>
      </c>
      <c r="G17" s="2"/>
      <c r="H17">
        <v>9</v>
      </c>
      <c r="I17" t="s">
        <v>278</v>
      </c>
      <c r="J17" t="b">
        <v>1</v>
      </c>
      <c r="K17" t="b">
        <v>0</v>
      </c>
    </row>
    <row r="18" spans="1:11" x14ac:dyDescent="0.3">
      <c r="A18" t="s">
        <v>9</v>
      </c>
      <c r="B18" t="s">
        <v>21</v>
      </c>
      <c r="C18" t="s">
        <v>131</v>
      </c>
      <c r="D18">
        <v>20</v>
      </c>
      <c r="E18" t="s">
        <v>249</v>
      </c>
      <c r="F18" t="s">
        <v>274</v>
      </c>
      <c r="G18" s="2"/>
      <c r="H18">
        <v>6.67</v>
      </c>
      <c r="I18" t="s">
        <v>277</v>
      </c>
      <c r="J18" t="b">
        <v>1</v>
      </c>
      <c r="K18" t="b">
        <v>0</v>
      </c>
    </row>
    <row r="19" spans="1:11" x14ac:dyDescent="0.3">
      <c r="A19" t="s">
        <v>9</v>
      </c>
      <c r="B19" t="s">
        <v>22</v>
      </c>
      <c r="C19" t="s">
        <v>132</v>
      </c>
      <c r="D19">
        <v>19</v>
      </c>
      <c r="E19" t="s">
        <v>242</v>
      </c>
      <c r="F19" t="s">
        <v>273</v>
      </c>
      <c r="G19" s="2">
        <f t="shared" si="0"/>
        <v>47.5</v>
      </c>
      <c r="I19" t="s">
        <v>277</v>
      </c>
      <c r="J19" t="b">
        <v>1</v>
      </c>
      <c r="K19" t="b">
        <v>0</v>
      </c>
    </row>
    <row r="20" spans="1:11" x14ac:dyDescent="0.3">
      <c r="A20" t="s">
        <v>9</v>
      </c>
      <c r="B20" t="s">
        <v>22</v>
      </c>
      <c r="C20" t="s">
        <v>132</v>
      </c>
      <c r="D20">
        <v>16</v>
      </c>
      <c r="E20" t="s">
        <v>247</v>
      </c>
      <c r="F20" t="s">
        <v>273</v>
      </c>
      <c r="G20" s="2">
        <f t="shared" si="0"/>
        <v>64</v>
      </c>
      <c r="I20" t="s">
        <v>278</v>
      </c>
      <c r="J20" t="b">
        <v>1</v>
      </c>
      <c r="K20" t="b">
        <v>0</v>
      </c>
    </row>
    <row r="21" spans="1:11" x14ac:dyDescent="0.3">
      <c r="A21" t="s">
        <v>9</v>
      </c>
      <c r="B21" t="s">
        <v>23</v>
      </c>
      <c r="C21" t="s">
        <v>133</v>
      </c>
      <c r="D21">
        <v>9</v>
      </c>
      <c r="E21" t="s">
        <v>244</v>
      </c>
      <c r="F21" t="s">
        <v>274</v>
      </c>
      <c r="G21" s="2"/>
      <c r="H21">
        <v>9</v>
      </c>
      <c r="I21" t="s">
        <v>278</v>
      </c>
      <c r="J21" t="b">
        <v>1</v>
      </c>
      <c r="K21" t="b">
        <v>0</v>
      </c>
    </row>
    <row r="22" spans="1:11" x14ac:dyDescent="0.3">
      <c r="A22" t="s">
        <v>9</v>
      </c>
      <c r="B22" t="s">
        <v>24</v>
      </c>
      <c r="C22" t="s">
        <v>134</v>
      </c>
      <c r="D22">
        <v>5</v>
      </c>
      <c r="E22" t="s">
        <v>244</v>
      </c>
      <c r="F22" t="s">
        <v>274</v>
      </c>
      <c r="G22" s="2"/>
      <c r="H22">
        <v>5</v>
      </c>
      <c r="I22" t="s">
        <v>278</v>
      </c>
      <c r="J22" t="b">
        <v>1</v>
      </c>
      <c r="K22" t="b">
        <v>0</v>
      </c>
    </row>
    <row r="23" spans="1:11" x14ac:dyDescent="0.3">
      <c r="A23" t="s">
        <v>9</v>
      </c>
      <c r="B23" t="s">
        <v>24</v>
      </c>
      <c r="C23" t="s">
        <v>135</v>
      </c>
      <c r="D23">
        <v>16.5</v>
      </c>
      <c r="E23" t="s">
        <v>241</v>
      </c>
      <c r="F23" t="s">
        <v>273</v>
      </c>
      <c r="G23" s="2">
        <f t="shared" si="0"/>
        <v>33</v>
      </c>
      <c r="I23" t="s">
        <v>281</v>
      </c>
      <c r="J23" t="b">
        <v>1</v>
      </c>
      <c r="K23" t="b">
        <v>0</v>
      </c>
    </row>
    <row r="24" spans="1:11" x14ac:dyDescent="0.3">
      <c r="A24" t="s">
        <v>9</v>
      </c>
      <c r="B24" t="s">
        <v>25</v>
      </c>
      <c r="C24" t="s">
        <v>136</v>
      </c>
      <c r="D24">
        <v>12</v>
      </c>
      <c r="E24" t="s">
        <v>239</v>
      </c>
      <c r="F24" t="s">
        <v>273</v>
      </c>
      <c r="G24" s="2">
        <f t="shared" si="0"/>
        <v>12</v>
      </c>
      <c r="I24" t="s">
        <v>278</v>
      </c>
      <c r="J24" t="b">
        <v>1</v>
      </c>
      <c r="K24" t="b">
        <v>0</v>
      </c>
    </row>
    <row r="25" spans="1:11" x14ac:dyDescent="0.3">
      <c r="A25" t="s">
        <v>9</v>
      </c>
      <c r="B25" t="s">
        <v>25</v>
      </c>
      <c r="C25" t="s">
        <v>137</v>
      </c>
      <c r="D25">
        <v>2.5</v>
      </c>
      <c r="E25" t="s">
        <v>244</v>
      </c>
      <c r="F25" t="s">
        <v>274</v>
      </c>
      <c r="G25" s="2"/>
      <c r="H25">
        <v>2.5</v>
      </c>
      <c r="I25" t="s">
        <v>278</v>
      </c>
      <c r="J25" t="b">
        <v>1</v>
      </c>
      <c r="K25" t="b">
        <v>1</v>
      </c>
    </row>
    <row r="26" spans="1:11" x14ac:dyDescent="0.3">
      <c r="A26" t="s">
        <v>9</v>
      </c>
      <c r="B26" t="s">
        <v>26</v>
      </c>
      <c r="C26" t="s">
        <v>138</v>
      </c>
      <c r="D26">
        <v>15</v>
      </c>
      <c r="E26" t="s">
        <v>244</v>
      </c>
      <c r="F26" t="s">
        <v>274</v>
      </c>
      <c r="G26" s="2"/>
      <c r="H26">
        <v>15</v>
      </c>
      <c r="I26" t="s">
        <v>277</v>
      </c>
      <c r="J26" t="b">
        <v>1</v>
      </c>
      <c r="K26" t="b">
        <v>0</v>
      </c>
    </row>
    <row r="27" spans="1:11" x14ac:dyDescent="0.3">
      <c r="A27" t="s">
        <v>9</v>
      </c>
      <c r="B27" t="s">
        <v>27</v>
      </c>
      <c r="C27" t="s">
        <v>139</v>
      </c>
      <c r="D27">
        <v>12</v>
      </c>
      <c r="E27" t="s">
        <v>250</v>
      </c>
      <c r="F27" t="s">
        <v>273</v>
      </c>
      <c r="G27" s="2">
        <f t="shared" si="0"/>
        <v>80</v>
      </c>
      <c r="I27" t="s">
        <v>282</v>
      </c>
      <c r="J27" t="b">
        <v>1</v>
      </c>
      <c r="K27" t="b">
        <v>0</v>
      </c>
    </row>
    <row r="28" spans="1:11" x14ac:dyDescent="0.3">
      <c r="A28" t="s">
        <v>9</v>
      </c>
      <c r="B28" t="s">
        <v>28</v>
      </c>
      <c r="C28" t="s">
        <v>140</v>
      </c>
      <c r="D28">
        <v>17</v>
      </c>
      <c r="E28" t="s">
        <v>244</v>
      </c>
      <c r="F28" t="s">
        <v>274</v>
      </c>
      <c r="G28" s="2"/>
      <c r="H28">
        <v>17</v>
      </c>
      <c r="I28" t="s">
        <v>278</v>
      </c>
      <c r="J28" t="b">
        <v>1</v>
      </c>
      <c r="K28" t="b">
        <v>0</v>
      </c>
    </row>
    <row r="29" spans="1:11" x14ac:dyDescent="0.3">
      <c r="A29" t="s">
        <v>9</v>
      </c>
      <c r="B29" t="s">
        <v>29</v>
      </c>
      <c r="C29" t="s">
        <v>141</v>
      </c>
      <c r="D29">
        <v>15</v>
      </c>
      <c r="E29" t="s">
        <v>241</v>
      </c>
      <c r="F29" t="s">
        <v>273</v>
      </c>
      <c r="G29" s="2">
        <f t="shared" si="0"/>
        <v>30</v>
      </c>
      <c r="I29" t="s">
        <v>281</v>
      </c>
      <c r="J29" t="b">
        <v>1</v>
      </c>
      <c r="K29" t="b">
        <v>0</v>
      </c>
    </row>
    <row r="30" spans="1:11" x14ac:dyDescent="0.3">
      <c r="A30" t="s">
        <v>9</v>
      </c>
      <c r="B30" t="s">
        <v>30</v>
      </c>
      <c r="C30" t="s">
        <v>142</v>
      </c>
      <c r="D30">
        <v>8</v>
      </c>
      <c r="E30" t="s">
        <v>244</v>
      </c>
      <c r="F30" t="s">
        <v>274</v>
      </c>
      <c r="G30" s="2"/>
      <c r="H30">
        <v>8</v>
      </c>
      <c r="I30" t="s">
        <v>278</v>
      </c>
      <c r="J30" t="b">
        <v>1</v>
      </c>
      <c r="K30" t="b">
        <v>0</v>
      </c>
    </row>
    <row r="31" spans="1:11" x14ac:dyDescent="0.3">
      <c r="A31" t="s">
        <v>10</v>
      </c>
      <c r="B31" t="s">
        <v>30</v>
      </c>
      <c r="C31" t="s">
        <v>143</v>
      </c>
      <c r="D31">
        <v>48</v>
      </c>
      <c r="E31" t="s">
        <v>251</v>
      </c>
      <c r="F31" t="s">
        <v>274</v>
      </c>
      <c r="G31" s="2"/>
      <c r="H31">
        <v>8</v>
      </c>
      <c r="I31" t="s">
        <v>278</v>
      </c>
      <c r="J31" t="b">
        <v>1</v>
      </c>
      <c r="K31" t="b">
        <v>0</v>
      </c>
    </row>
    <row r="32" spans="1:11" x14ac:dyDescent="0.3">
      <c r="A32" t="s">
        <v>9</v>
      </c>
      <c r="B32" t="s">
        <v>31</v>
      </c>
      <c r="C32" t="s">
        <v>144</v>
      </c>
      <c r="D32">
        <v>13</v>
      </c>
      <c r="E32" t="s">
        <v>239</v>
      </c>
      <c r="F32" t="s">
        <v>273</v>
      </c>
      <c r="G32" s="2">
        <f t="shared" si="0"/>
        <v>13</v>
      </c>
      <c r="I32" t="s">
        <v>281</v>
      </c>
      <c r="J32" t="b">
        <v>1</v>
      </c>
      <c r="K32" t="b">
        <v>0</v>
      </c>
    </row>
    <row r="33" spans="1:11" x14ac:dyDescent="0.3">
      <c r="A33" t="s">
        <v>9</v>
      </c>
      <c r="B33" t="s">
        <v>32</v>
      </c>
      <c r="C33" t="s">
        <v>145</v>
      </c>
      <c r="D33">
        <v>13.94</v>
      </c>
      <c r="E33" t="s">
        <v>252</v>
      </c>
      <c r="F33" t="s">
        <v>273</v>
      </c>
      <c r="G33" s="2">
        <f t="shared" si="0"/>
        <v>19.914285714285715</v>
      </c>
      <c r="I33" t="s">
        <v>283</v>
      </c>
      <c r="J33" t="b">
        <v>1</v>
      </c>
      <c r="K33" t="b">
        <v>0</v>
      </c>
    </row>
    <row r="34" spans="1:11" x14ac:dyDescent="0.3">
      <c r="A34" t="s">
        <v>9</v>
      </c>
      <c r="B34" t="s">
        <v>33</v>
      </c>
      <c r="C34" t="s">
        <v>146</v>
      </c>
      <c r="D34">
        <v>16</v>
      </c>
      <c r="E34" t="s">
        <v>244</v>
      </c>
      <c r="F34" t="s">
        <v>274</v>
      </c>
      <c r="G34" s="2"/>
      <c r="H34">
        <v>16</v>
      </c>
      <c r="I34" t="s">
        <v>278</v>
      </c>
      <c r="J34" t="b">
        <v>1</v>
      </c>
      <c r="K34" t="b">
        <v>0</v>
      </c>
    </row>
    <row r="35" spans="1:11" x14ac:dyDescent="0.3">
      <c r="A35" t="s">
        <v>9</v>
      </c>
      <c r="B35" t="s">
        <v>34</v>
      </c>
      <c r="C35" t="s">
        <v>147</v>
      </c>
      <c r="D35">
        <v>3.5</v>
      </c>
      <c r="E35" t="s">
        <v>244</v>
      </c>
      <c r="F35" t="s">
        <v>274</v>
      </c>
      <c r="G35" s="2"/>
      <c r="H35">
        <v>3.5</v>
      </c>
      <c r="I35" t="s">
        <v>278</v>
      </c>
      <c r="J35" t="b">
        <v>1</v>
      </c>
      <c r="K35" t="b">
        <v>0</v>
      </c>
    </row>
    <row r="36" spans="1:11" x14ac:dyDescent="0.3">
      <c r="A36" t="s">
        <v>9</v>
      </c>
      <c r="B36" t="s">
        <v>35</v>
      </c>
      <c r="C36" t="s">
        <v>148</v>
      </c>
      <c r="D36">
        <v>14.5</v>
      </c>
      <c r="E36" t="s">
        <v>243</v>
      </c>
      <c r="F36" t="s">
        <v>273</v>
      </c>
      <c r="G36" s="2">
        <f t="shared" si="0"/>
        <v>72.5</v>
      </c>
      <c r="I36" t="s">
        <v>277</v>
      </c>
      <c r="J36" t="b">
        <v>1</v>
      </c>
      <c r="K36" t="b">
        <v>0</v>
      </c>
    </row>
    <row r="37" spans="1:11" x14ac:dyDescent="0.3">
      <c r="A37" t="s">
        <v>9</v>
      </c>
      <c r="B37" t="s">
        <v>36</v>
      </c>
      <c r="C37" t="s">
        <v>149</v>
      </c>
      <c r="D37">
        <v>10</v>
      </c>
      <c r="E37" t="s">
        <v>244</v>
      </c>
      <c r="F37" t="s">
        <v>274</v>
      </c>
      <c r="G37" s="2"/>
      <c r="H37">
        <v>10</v>
      </c>
      <c r="I37" t="s">
        <v>278</v>
      </c>
      <c r="J37" t="b">
        <v>1</v>
      </c>
      <c r="K37" t="b">
        <v>0</v>
      </c>
    </row>
    <row r="38" spans="1:11" x14ac:dyDescent="0.3">
      <c r="A38" t="s">
        <v>9</v>
      </c>
      <c r="B38" t="s">
        <v>37</v>
      </c>
      <c r="C38" t="s">
        <v>150</v>
      </c>
      <c r="D38">
        <v>109</v>
      </c>
      <c r="E38" t="s">
        <v>253</v>
      </c>
      <c r="F38" t="s">
        <v>273</v>
      </c>
      <c r="G38" s="2">
        <f t="shared" si="0"/>
        <v>72.666666666666671</v>
      </c>
      <c r="I38" t="s">
        <v>284</v>
      </c>
      <c r="J38" t="b">
        <v>0</v>
      </c>
      <c r="K38" t="b">
        <v>0</v>
      </c>
    </row>
    <row r="39" spans="1:11" x14ac:dyDescent="0.3">
      <c r="A39" t="s">
        <v>9</v>
      </c>
      <c r="B39" t="s">
        <v>37</v>
      </c>
      <c r="C39" t="s">
        <v>151</v>
      </c>
      <c r="D39">
        <v>25.65</v>
      </c>
      <c r="E39" s="4">
        <v>300</v>
      </c>
      <c r="F39" t="s">
        <v>273</v>
      </c>
      <c r="G39" s="2">
        <f t="shared" si="0"/>
        <v>85.499999999999986</v>
      </c>
      <c r="I39" t="s">
        <v>286</v>
      </c>
      <c r="J39" t="b">
        <v>0</v>
      </c>
      <c r="K39" t="b">
        <v>0</v>
      </c>
    </row>
    <row r="40" spans="1:11" x14ac:dyDescent="0.3">
      <c r="A40" t="s">
        <v>9</v>
      </c>
      <c r="B40" t="s">
        <v>37</v>
      </c>
      <c r="C40" t="s">
        <v>152</v>
      </c>
      <c r="D40">
        <v>34.950000000000003</v>
      </c>
      <c r="E40" s="4">
        <v>450</v>
      </c>
      <c r="F40" t="s">
        <v>273</v>
      </c>
      <c r="G40" s="2">
        <f t="shared" si="0"/>
        <v>77.666666666666671</v>
      </c>
      <c r="I40" t="s">
        <v>286</v>
      </c>
      <c r="J40" t="b">
        <v>0</v>
      </c>
      <c r="K40" t="b">
        <v>0</v>
      </c>
    </row>
    <row r="41" spans="1:11" x14ac:dyDescent="0.3">
      <c r="A41" t="s">
        <v>9</v>
      </c>
      <c r="B41" t="s">
        <v>38</v>
      </c>
      <c r="C41" t="s">
        <v>153</v>
      </c>
      <c r="D41">
        <v>55</v>
      </c>
      <c r="E41" s="4">
        <v>1450</v>
      </c>
      <c r="F41" t="s">
        <v>273</v>
      </c>
      <c r="G41" s="2">
        <f t="shared" si="0"/>
        <v>37.931034482758619</v>
      </c>
      <c r="I41" t="s">
        <v>285</v>
      </c>
      <c r="J41" t="b">
        <v>0</v>
      </c>
      <c r="K41" t="b">
        <v>0</v>
      </c>
    </row>
    <row r="42" spans="1:11" x14ac:dyDescent="0.3">
      <c r="A42" t="s">
        <v>9</v>
      </c>
      <c r="B42" t="s">
        <v>39</v>
      </c>
      <c r="C42" t="s">
        <v>154</v>
      </c>
      <c r="D42">
        <v>15</v>
      </c>
      <c r="E42" t="s">
        <v>254</v>
      </c>
      <c r="F42" t="s">
        <v>273</v>
      </c>
      <c r="G42" s="2">
        <f t="shared" si="0"/>
        <v>50</v>
      </c>
      <c r="I42" t="s">
        <v>284</v>
      </c>
      <c r="J42" t="b">
        <v>0</v>
      </c>
      <c r="K42" t="b">
        <v>0</v>
      </c>
    </row>
    <row r="43" spans="1:11" x14ac:dyDescent="0.3">
      <c r="A43" t="s">
        <v>9</v>
      </c>
      <c r="B43" t="s">
        <v>39</v>
      </c>
      <c r="C43" t="s">
        <v>154</v>
      </c>
      <c r="D43">
        <v>29.95</v>
      </c>
      <c r="E43" t="s">
        <v>252</v>
      </c>
      <c r="F43" t="s">
        <v>273</v>
      </c>
      <c r="G43" s="2">
        <f t="shared" si="0"/>
        <v>42.785714285714285</v>
      </c>
      <c r="I43" t="s">
        <v>286</v>
      </c>
      <c r="J43" t="b">
        <v>0</v>
      </c>
      <c r="K43" t="b">
        <v>0</v>
      </c>
    </row>
    <row r="44" spans="1:11" x14ac:dyDescent="0.3">
      <c r="A44" t="s">
        <v>9</v>
      </c>
      <c r="B44" t="s">
        <v>39</v>
      </c>
      <c r="C44" t="s">
        <v>155</v>
      </c>
      <c r="D44">
        <v>15</v>
      </c>
      <c r="E44" t="s">
        <v>242</v>
      </c>
      <c r="F44" t="s">
        <v>273</v>
      </c>
      <c r="G44" s="2">
        <f t="shared" si="0"/>
        <v>37.5</v>
      </c>
      <c r="I44" t="s">
        <v>284</v>
      </c>
      <c r="J44" t="b">
        <v>0</v>
      </c>
      <c r="K44" t="b">
        <v>0</v>
      </c>
    </row>
    <row r="45" spans="1:11" x14ac:dyDescent="0.3">
      <c r="A45" t="s">
        <v>9</v>
      </c>
      <c r="B45" t="s">
        <v>40</v>
      </c>
      <c r="C45" t="s">
        <v>156</v>
      </c>
      <c r="D45">
        <v>45</v>
      </c>
      <c r="E45" t="s">
        <v>239</v>
      </c>
      <c r="F45" t="s">
        <v>273</v>
      </c>
      <c r="G45" s="2">
        <f t="shared" si="0"/>
        <v>45</v>
      </c>
      <c r="I45" t="s">
        <v>286</v>
      </c>
      <c r="J45" t="b">
        <v>0</v>
      </c>
      <c r="K45" t="b">
        <v>0</v>
      </c>
    </row>
    <row r="46" spans="1:11" x14ac:dyDescent="0.3">
      <c r="A46" t="s">
        <v>9</v>
      </c>
      <c r="B46" t="s">
        <v>40</v>
      </c>
      <c r="C46" t="s">
        <v>157</v>
      </c>
      <c r="D46">
        <v>25</v>
      </c>
      <c r="E46" t="s">
        <v>255</v>
      </c>
      <c r="F46" t="s">
        <v>273</v>
      </c>
      <c r="G46" s="2">
        <f t="shared" si="0"/>
        <v>55.55555555555555</v>
      </c>
      <c r="I46" t="s">
        <v>284</v>
      </c>
      <c r="J46" t="b">
        <v>0</v>
      </c>
      <c r="K46" t="b">
        <v>0</v>
      </c>
    </row>
    <row r="47" spans="1:11" x14ac:dyDescent="0.3">
      <c r="A47" t="s">
        <v>9</v>
      </c>
      <c r="B47" t="s">
        <v>41</v>
      </c>
      <c r="C47" t="s">
        <v>365</v>
      </c>
      <c r="D47">
        <v>37.950000000000003</v>
      </c>
      <c r="E47" t="s">
        <v>242</v>
      </c>
      <c r="F47" t="s">
        <v>273</v>
      </c>
      <c r="G47" s="2">
        <f t="shared" si="0"/>
        <v>94.875</v>
      </c>
      <c r="I47" t="s">
        <v>286</v>
      </c>
      <c r="J47" t="b">
        <v>0</v>
      </c>
      <c r="K47" t="b">
        <v>0</v>
      </c>
    </row>
    <row r="48" spans="1:11" x14ac:dyDescent="0.3">
      <c r="A48" t="s">
        <v>9</v>
      </c>
      <c r="B48" t="s">
        <v>42</v>
      </c>
      <c r="C48" t="s">
        <v>158</v>
      </c>
      <c r="D48">
        <v>37.950000000000003</v>
      </c>
      <c r="E48" t="s">
        <v>256</v>
      </c>
      <c r="F48" t="s">
        <v>273</v>
      </c>
      <c r="G48" s="2">
        <f t="shared" si="0"/>
        <v>116.76923076923077</v>
      </c>
      <c r="I48" t="s">
        <v>287</v>
      </c>
      <c r="J48" t="b">
        <v>0</v>
      </c>
      <c r="K48" t="b">
        <v>0</v>
      </c>
    </row>
    <row r="49" spans="1:11" x14ac:dyDescent="0.3">
      <c r="A49" t="s">
        <v>9</v>
      </c>
      <c r="B49" t="s">
        <v>43</v>
      </c>
      <c r="C49" t="s">
        <v>159</v>
      </c>
      <c r="D49">
        <v>29.95</v>
      </c>
      <c r="E49" t="s">
        <v>241</v>
      </c>
      <c r="F49" t="s">
        <v>273</v>
      </c>
      <c r="G49" s="2">
        <f t="shared" si="0"/>
        <v>59.9</v>
      </c>
      <c r="I49" t="s">
        <v>286</v>
      </c>
      <c r="J49" t="b">
        <v>0</v>
      </c>
      <c r="K49" t="b">
        <v>0</v>
      </c>
    </row>
    <row r="50" spans="1:11" x14ac:dyDescent="0.3">
      <c r="A50" t="s">
        <v>9</v>
      </c>
      <c r="B50" t="s">
        <v>44</v>
      </c>
      <c r="C50" t="s">
        <v>160</v>
      </c>
      <c r="D50">
        <v>159.9</v>
      </c>
      <c r="E50" t="s">
        <v>239</v>
      </c>
      <c r="F50" t="s">
        <v>273</v>
      </c>
      <c r="G50" s="2">
        <f t="shared" si="0"/>
        <v>159.9</v>
      </c>
      <c r="I50" t="s">
        <v>286</v>
      </c>
      <c r="J50" t="b">
        <v>0</v>
      </c>
      <c r="K50" t="b">
        <v>0</v>
      </c>
    </row>
    <row r="51" spans="1:11" x14ac:dyDescent="0.3">
      <c r="A51" t="s">
        <v>9</v>
      </c>
      <c r="B51" t="s">
        <v>45</v>
      </c>
      <c r="C51" t="s">
        <v>161</v>
      </c>
      <c r="D51">
        <v>39.950000000000003</v>
      </c>
      <c r="E51" t="s">
        <v>242</v>
      </c>
      <c r="F51" t="s">
        <v>273</v>
      </c>
      <c r="G51" s="2">
        <f t="shared" si="0"/>
        <v>99.875</v>
      </c>
      <c r="I51" t="s">
        <v>288</v>
      </c>
      <c r="J51" t="b">
        <v>0</v>
      </c>
      <c r="K51" t="b">
        <v>0</v>
      </c>
    </row>
    <row r="52" spans="1:11" x14ac:dyDescent="0.3">
      <c r="A52" t="s">
        <v>9</v>
      </c>
      <c r="B52" t="s">
        <v>45</v>
      </c>
      <c r="F52" t="s">
        <v>275</v>
      </c>
      <c r="G52" s="2"/>
    </row>
    <row r="53" spans="1:11" x14ac:dyDescent="0.3">
      <c r="A53" t="s">
        <v>9</v>
      </c>
      <c r="B53" t="s">
        <v>46</v>
      </c>
      <c r="F53" t="s">
        <v>275</v>
      </c>
      <c r="G53" s="2"/>
    </row>
    <row r="54" spans="1:11" x14ac:dyDescent="0.3">
      <c r="A54" t="s">
        <v>9</v>
      </c>
      <c r="B54" t="s">
        <v>47</v>
      </c>
      <c r="C54" t="s">
        <v>366</v>
      </c>
      <c r="D54">
        <v>24.95</v>
      </c>
      <c r="E54" s="4">
        <v>500</v>
      </c>
      <c r="F54" t="s">
        <v>273</v>
      </c>
      <c r="G54" s="2">
        <f t="shared" si="0"/>
        <v>49.9</v>
      </c>
      <c r="I54" t="s">
        <v>286</v>
      </c>
      <c r="J54" t="b">
        <v>0</v>
      </c>
      <c r="K54" t="b">
        <v>0</v>
      </c>
    </row>
    <row r="55" spans="1:11" x14ac:dyDescent="0.3">
      <c r="A55" t="s">
        <v>9</v>
      </c>
      <c r="B55" t="s">
        <v>48</v>
      </c>
      <c r="C55" t="s">
        <v>162</v>
      </c>
      <c r="D55">
        <v>69.959999999999994</v>
      </c>
      <c r="E55" t="s">
        <v>252</v>
      </c>
      <c r="F55" t="s">
        <v>273</v>
      </c>
      <c r="G55" s="2">
        <f t="shared" si="0"/>
        <v>99.942857142857136</v>
      </c>
      <c r="I55" t="s">
        <v>286</v>
      </c>
      <c r="J55" t="b">
        <v>0</v>
      </c>
      <c r="K55" t="b">
        <v>0</v>
      </c>
    </row>
    <row r="56" spans="1:11" x14ac:dyDescent="0.3">
      <c r="A56" t="s">
        <v>9</v>
      </c>
      <c r="B56" t="s">
        <v>48</v>
      </c>
      <c r="C56" t="s">
        <v>162</v>
      </c>
      <c r="D56">
        <v>42.95</v>
      </c>
      <c r="E56" t="s">
        <v>242</v>
      </c>
      <c r="F56" t="s">
        <v>273</v>
      </c>
      <c r="G56" s="2">
        <f t="shared" si="0"/>
        <v>107.37500000000001</v>
      </c>
      <c r="I56" t="s">
        <v>286</v>
      </c>
      <c r="J56" t="b">
        <v>0</v>
      </c>
      <c r="K56" t="b">
        <v>0</v>
      </c>
    </row>
    <row r="57" spans="1:11" x14ac:dyDescent="0.3">
      <c r="A57" t="s">
        <v>9</v>
      </c>
      <c r="B57" t="s">
        <v>343</v>
      </c>
      <c r="C57" t="s">
        <v>364</v>
      </c>
      <c r="D57">
        <v>29.95</v>
      </c>
      <c r="E57" s="4">
        <v>400</v>
      </c>
      <c r="F57" t="s">
        <v>273</v>
      </c>
      <c r="G57" s="2">
        <f t="shared" si="0"/>
        <v>74.875</v>
      </c>
      <c r="I57" t="s">
        <v>286</v>
      </c>
      <c r="J57" t="b">
        <v>0</v>
      </c>
      <c r="K57" t="b">
        <v>0</v>
      </c>
    </row>
    <row r="58" spans="1:11" x14ac:dyDescent="0.3">
      <c r="A58" t="s">
        <v>9</v>
      </c>
      <c r="B58" t="s">
        <v>49</v>
      </c>
      <c r="C58" t="s">
        <v>163</v>
      </c>
      <c r="D58">
        <v>14.95</v>
      </c>
      <c r="E58" t="s">
        <v>243</v>
      </c>
      <c r="F58" t="s">
        <v>273</v>
      </c>
      <c r="G58" s="2">
        <f t="shared" si="0"/>
        <v>74.75</v>
      </c>
      <c r="I58" t="s">
        <v>289</v>
      </c>
      <c r="J58" t="b">
        <v>0</v>
      </c>
      <c r="K58" t="b">
        <v>0</v>
      </c>
    </row>
    <row r="59" spans="1:11" x14ac:dyDescent="0.3">
      <c r="A59" t="s">
        <v>9</v>
      </c>
      <c r="B59" t="s">
        <v>50</v>
      </c>
      <c r="C59" t="s">
        <v>164</v>
      </c>
      <c r="D59">
        <v>29</v>
      </c>
      <c r="E59" t="s">
        <v>241</v>
      </c>
      <c r="F59" t="s">
        <v>273</v>
      </c>
      <c r="G59" s="2">
        <f t="shared" si="0"/>
        <v>58</v>
      </c>
      <c r="I59" t="s">
        <v>290</v>
      </c>
      <c r="J59" t="b">
        <v>0</v>
      </c>
      <c r="K59" t="b">
        <v>0</v>
      </c>
    </row>
    <row r="60" spans="1:11" x14ac:dyDescent="0.3">
      <c r="A60" t="s">
        <v>9</v>
      </c>
      <c r="B60" t="s">
        <v>51</v>
      </c>
      <c r="C60" t="s">
        <v>165</v>
      </c>
      <c r="D60">
        <v>17.95</v>
      </c>
      <c r="E60" t="s">
        <v>243</v>
      </c>
      <c r="F60" t="s">
        <v>273</v>
      </c>
      <c r="G60" s="2">
        <f t="shared" si="0"/>
        <v>89.75</v>
      </c>
      <c r="I60" t="s">
        <v>288</v>
      </c>
      <c r="J60" t="b">
        <v>0</v>
      </c>
      <c r="K60" t="b">
        <v>0</v>
      </c>
    </row>
    <row r="61" spans="1:11" x14ac:dyDescent="0.3">
      <c r="A61" t="s">
        <v>9</v>
      </c>
      <c r="B61" t="s">
        <v>52</v>
      </c>
      <c r="C61" t="s">
        <v>166</v>
      </c>
      <c r="D61">
        <v>12</v>
      </c>
      <c r="E61" s="4">
        <v>100</v>
      </c>
      <c r="F61" t="s">
        <v>273</v>
      </c>
      <c r="G61" s="2">
        <f t="shared" si="0"/>
        <v>120</v>
      </c>
      <c r="I61" t="s">
        <v>291</v>
      </c>
      <c r="J61" t="b">
        <v>0</v>
      </c>
      <c r="K61" t="b">
        <v>0</v>
      </c>
    </row>
    <row r="62" spans="1:11" x14ac:dyDescent="0.3">
      <c r="A62" t="s">
        <v>9</v>
      </c>
      <c r="B62" t="s">
        <v>53</v>
      </c>
      <c r="C62" t="s">
        <v>167</v>
      </c>
      <c r="D62">
        <v>10</v>
      </c>
      <c r="E62" t="s">
        <v>242</v>
      </c>
      <c r="F62" t="s">
        <v>273</v>
      </c>
      <c r="G62" s="2">
        <f t="shared" si="0"/>
        <v>25</v>
      </c>
      <c r="I62" t="s">
        <v>292</v>
      </c>
      <c r="J62" t="b">
        <v>0</v>
      </c>
      <c r="K62" t="b">
        <v>1</v>
      </c>
    </row>
    <row r="63" spans="1:11" x14ac:dyDescent="0.3">
      <c r="A63" t="s">
        <v>9</v>
      </c>
      <c r="B63" t="s">
        <v>54</v>
      </c>
      <c r="C63" t="s">
        <v>168</v>
      </c>
      <c r="D63">
        <v>19.899999999999999</v>
      </c>
      <c r="E63" t="s">
        <v>239</v>
      </c>
      <c r="F63" t="s">
        <v>273</v>
      </c>
      <c r="G63" s="2">
        <f t="shared" si="0"/>
        <v>19.899999999999999</v>
      </c>
      <c r="I63" t="s">
        <v>286</v>
      </c>
      <c r="J63" t="b">
        <v>0</v>
      </c>
      <c r="K63" t="b">
        <v>0</v>
      </c>
    </row>
    <row r="64" spans="1:11" x14ac:dyDescent="0.3">
      <c r="A64" t="s">
        <v>9</v>
      </c>
      <c r="B64" t="s">
        <v>55</v>
      </c>
      <c r="C64" t="s">
        <v>169</v>
      </c>
      <c r="D64">
        <v>49.9</v>
      </c>
      <c r="E64" t="s">
        <v>239</v>
      </c>
      <c r="F64" t="s">
        <v>273</v>
      </c>
      <c r="G64" s="2">
        <f t="shared" si="0"/>
        <v>49.9</v>
      </c>
      <c r="I64" t="s">
        <v>286</v>
      </c>
      <c r="J64" t="b">
        <v>0</v>
      </c>
      <c r="K64" t="b">
        <v>0</v>
      </c>
    </row>
    <row r="65" spans="1:11" x14ac:dyDescent="0.3">
      <c r="A65" t="s">
        <v>9</v>
      </c>
      <c r="B65" t="s">
        <v>56</v>
      </c>
      <c r="C65" t="s">
        <v>170</v>
      </c>
      <c r="D65">
        <v>79.95</v>
      </c>
      <c r="E65" t="s">
        <v>257</v>
      </c>
      <c r="F65" t="s">
        <v>273</v>
      </c>
      <c r="G65" s="2">
        <f t="shared" si="0"/>
        <v>88.833333333333329</v>
      </c>
      <c r="I65" t="s">
        <v>286</v>
      </c>
      <c r="J65" t="b">
        <v>0</v>
      </c>
      <c r="K65" t="b">
        <v>0</v>
      </c>
    </row>
    <row r="66" spans="1:11" x14ac:dyDescent="0.3">
      <c r="A66" t="s">
        <v>9</v>
      </c>
      <c r="B66" t="s">
        <v>57</v>
      </c>
      <c r="C66" t="s">
        <v>171</v>
      </c>
      <c r="D66">
        <v>85</v>
      </c>
      <c r="E66" t="s">
        <v>258</v>
      </c>
      <c r="F66" t="s">
        <v>273</v>
      </c>
      <c r="G66" s="2">
        <f t="shared" si="0"/>
        <v>141.66666666666666</v>
      </c>
      <c r="I66" t="s">
        <v>286</v>
      </c>
      <c r="J66" t="b">
        <v>0</v>
      </c>
      <c r="K66" t="b">
        <v>1</v>
      </c>
    </row>
    <row r="67" spans="1:11" x14ac:dyDescent="0.3">
      <c r="A67" t="s">
        <v>9</v>
      </c>
      <c r="B67" t="s">
        <v>57</v>
      </c>
      <c r="C67" t="s">
        <v>172</v>
      </c>
      <c r="D67">
        <v>43.95</v>
      </c>
      <c r="E67" t="s">
        <v>259</v>
      </c>
      <c r="F67" t="s">
        <v>273</v>
      </c>
      <c r="G67" s="2">
        <f t="shared" si="0"/>
        <v>195.33333333333337</v>
      </c>
      <c r="I67" t="s">
        <v>286</v>
      </c>
      <c r="J67" t="b">
        <v>0</v>
      </c>
      <c r="K67" t="b">
        <v>0</v>
      </c>
    </row>
    <row r="68" spans="1:11" x14ac:dyDescent="0.3">
      <c r="A68" t="s">
        <v>9</v>
      </c>
      <c r="B68" t="s">
        <v>58</v>
      </c>
      <c r="C68" t="s">
        <v>173</v>
      </c>
      <c r="D68">
        <v>54.95</v>
      </c>
      <c r="E68" t="s">
        <v>247</v>
      </c>
      <c r="F68" t="s">
        <v>273</v>
      </c>
      <c r="G68" s="2">
        <f t="shared" si="0"/>
        <v>219.8</v>
      </c>
      <c r="I68" t="s">
        <v>286</v>
      </c>
      <c r="J68" t="b">
        <v>0</v>
      </c>
      <c r="K68" t="b">
        <v>0</v>
      </c>
    </row>
    <row r="69" spans="1:11" x14ac:dyDescent="0.3">
      <c r="A69" t="s">
        <v>9</v>
      </c>
      <c r="B69" t="s">
        <v>59</v>
      </c>
      <c r="C69" t="s">
        <v>174</v>
      </c>
      <c r="D69">
        <v>70.03</v>
      </c>
      <c r="E69" t="s">
        <v>242</v>
      </c>
      <c r="F69" t="s">
        <v>273</v>
      </c>
      <c r="G69" s="2">
        <f t="shared" ref="G69:G132" si="1">D69/E69*1000</f>
        <v>175.07500000000002</v>
      </c>
      <c r="I69" t="s">
        <v>293</v>
      </c>
      <c r="J69" t="b">
        <v>0</v>
      </c>
      <c r="K69" t="b">
        <v>0</v>
      </c>
    </row>
    <row r="70" spans="1:11" x14ac:dyDescent="0.3">
      <c r="A70" t="s">
        <v>9</v>
      </c>
      <c r="B70" t="s">
        <v>60</v>
      </c>
      <c r="C70" t="s">
        <v>175</v>
      </c>
      <c r="D70">
        <v>32</v>
      </c>
      <c r="E70" t="s">
        <v>242</v>
      </c>
      <c r="F70" t="s">
        <v>273</v>
      </c>
      <c r="G70" s="2">
        <f t="shared" si="1"/>
        <v>80</v>
      </c>
      <c r="I70" t="s">
        <v>286</v>
      </c>
      <c r="J70" t="b">
        <v>0</v>
      </c>
      <c r="K70" t="b">
        <v>0</v>
      </c>
    </row>
    <row r="71" spans="1:11" x14ac:dyDescent="0.3">
      <c r="A71" t="s">
        <v>9</v>
      </c>
      <c r="B71" t="s">
        <v>61</v>
      </c>
      <c r="C71" t="s">
        <v>176</v>
      </c>
      <c r="D71">
        <v>26</v>
      </c>
      <c r="E71" t="s">
        <v>243</v>
      </c>
      <c r="F71" t="s">
        <v>273</v>
      </c>
      <c r="G71" s="2">
        <f t="shared" si="1"/>
        <v>130</v>
      </c>
      <c r="I71" t="s">
        <v>294</v>
      </c>
      <c r="J71" t="b">
        <v>0</v>
      </c>
      <c r="K71" t="b">
        <v>0</v>
      </c>
    </row>
    <row r="72" spans="1:11" x14ac:dyDescent="0.3">
      <c r="A72" t="s">
        <v>9</v>
      </c>
      <c r="B72" t="s">
        <v>61</v>
      </c>
      <c r="F72" t="s">
        <v>275</v>
      </c>
      <c r="G72" s="2"/>
    </row>
    <row r="73" spans="1:11" x14ac:dyDescent="0.3">
      <c r="A73" t="s">
        <v>9</v>
      </c>
      <c r="B73" t="s">
        <v>62</v>
      </c>
      <c r="C73" t="s">
        <v>177</v>
      </c>
      <c r="D73">
        <v>29.95</v>
      </c>
      <c r="E73" t="s">
        <v>260</v>
      </c>
      <c r="F73" t="s">
        <v>274</v>
      </c>
      <c r="G73" s="2">
        <f t="shared" si="1"/>
        <v>2995</v>
      </c>
      <c r="H73">
        <v>3</v>
      </c>
      <c r="I73" t="s">
        <v>295</v>
      </c>
      <c r="J73" t="b">
        <v>1</v>
      </c>
      <c r="K73" t="b">
        <v>0</v>
      </c>
    </row>
    <row r="74" spans="1:11" x14ac:dyDescent="0.3">
      <c r="A74" t="s">
        <v>9</v>
      </c>
      <c r="B74" t="s">
        <v>63</v>
      </c>
      <c r="C74" t="s">
        <v>178</v>
      </c>
      <c r="D74">
        <v>22.95</v>
      </c>
      <c r="E74" t="s">
        <v>250</v>
      </c>
      <c r="F74" t="s">
        <v>273</v>
      </c>
      <c r="G74" s="2">
        <f t="shared" si="1"/>
        <v>153</v>
      </c>
      <c r="I74" t="s">
        <v>296</v>
      </c>
      <c r="J74" t="b">
        <v>1</v>
      </c>
      <c r="K74" t="b">
        <v>0</v>
      </c>
    </row>
    <row r="75" spans="1:11" x14ac:dyDescent="0.3">
      <c r="A75" t="s">
        <v>9</v>
      </c>
      <c r="B75" t="s">
        <v>63</v>
      </c>
      <c r="C75" t="s">
        <v>179</v>
      </c>
      <c r="D75">
        <v>25</v>
      </c>
      <c r="E75">
        <v>150</v>
      </c>
      <c r="F75" t="s">
        <v>273</v>
      </c>
      <c r="G75" s="2">
        <f t="shared" si="1"/>
        <v>166.66666666666666</v>
      </c>
      <c r="I75" t="s">
        <v>296</v>
      </c>
      <c r="J75" t="b">
        <v>1</v>
      </c>
      <c r="K75" t="b">
        <v>0</v>
      </c>
    </row>
    <row r="76" spans="1:11" x14ac:dyDescent="0.3">
      <c r="A76" t="s">
        <v>9</v>
      </c>
      <c r="B76" t="s">
        <v>64</v>
      </c>
      <c r="C76" t="s">
        <v>180</v>
      </c>
      <c r="D76">
        <v>34.950000000000003</v>
      </c>
      <c r="E76" t="s">
        <v>242</v>
      </c>
      <c r="F76" t="s">
        <v>273</v>
      </c>
      <c r="G76" s="2">
        <f t="shared" si="1"/>
        <v>87.375000000000014</v>
      </c>
      <c r="I76" t="s">
        <v>297</v>
      </c>
      <c r="J76" t="b">
        <v>1</v>
      </c>
      <c r="K76" t="b">
        <v>0</v>
      </c>
    </row>
    <row r="77" spans="1:11" x14ac:dyDescent="0.3">
      <c r="A77" t="s">
        <v>9</v>
      </c>
      <c r="B77" t="s">
        <v>64</v>
      </c>
      <c r="F77" t="s">
        <v>275</v>
      </c>
      <c r="G77" s="2"/>
    </row>
    <row r="78" spans="1:11" x14ac:dyDescent="0.3">
      <c r="A78" t="s">
        <v>9</v>
      </c>
      <c r="B78" t="s">
        <v>65</v>
      </c>
      <c r="C78" t="s">
        <v>181</v>
      </c>
      <c r="D78">
        <v>20.94</v>
      </c>
      <c r="E78" t="s">
        <v>254</v>
      </c>
      <c r="F78" t="s">
        <v>273</v>
      </c>
      <c r="G78" s="2">
        <f t="shared" si="1"/>
        <v>69.8</v>
      </c>
      <c r="I78" t="s">
        <v>289</v>
      </c>
      <c r="J78" t="b">
        <v>1</v>
      </c>
      <c r="K78" t="b">
        <v>0</v>
      </c>
    </row>
    <row r="79" spans="1:11" x14ac:dyDescent="0.3">
      <c r="A79" t="s">
        <v>9</v>
      </c>
      <c r="B79" t="s">
        <v>66</v>
      </c>
      <c r="C79" t="s">
        <v>182</v>
      </c>
      <c r="D79">
        <v>32</v>
      </c>
      <c r="E79" t="s">
        <v>242</v>
      </c>
      <c r="F79" t="s">
        <v>273</v>
      </c>
      <c r="G79" s="2">
        <f t="shared" si="1"/>
        <v>80</v>
      </c>
      <c r="I79" t="s">
        <v>289</v>
      </c>
      <c r="J79" t="b">
        <v>1</v>
      </c>
      <c r="K79" t="b">
        <v>0</v>
      </c>
    </row>
    <row r="80" spans="1:11" x14ac:dyDescent="0.3">
      <c r="A80" t="s">
        <v>9</v>
      </c>
      <c r="B80" t="s">
        <v>67</v>
      </c>
      <c r="C80" t="s">
        <v>183</v>
      </c>
      <c r="D80">
        <v>22</v>
      </c>
      <c r="E80" t="s">
        <v>255</v>
      </c>
      <c r="F80" t="s">
        <v>273</v>
      </c>
      <c r="G80" s="2">
        <f t="shared" si="1"/>
        <v>48.888888888888893</v>
      </c>
      <c r="I80" t="s">
        <v>298</v>
      </c>
      <c r="J80" t="b">
        <v>1</v>
      </c>
      <c r="K80" t="b">
        <v>0</v>
      </c>
    </row>
    <row r="81" spans="1:11" x14ac:dyDescent="0.3">
      <c r="A81" t="s">
        <v>9</v>
      </c>
      <c r="B81" t="s">
        <v>67</v>
      </c>
      <c r="C81" t="s">
        <v>184</v>
      </c>
      <c r="D81">
        <v>11</v>
      </c>
      <c r="E81" t="s">
        <v>243</v>
      </c>
      <c r="F81" t="s">
        <v>273</v>
      </c>
      <c r="G81" s="2">
        <f t="shared" si="1"/>
        <v>55</v>
      </c>
      <c r="I81" t="s">
        <v>299</v>
      </c>
      <c r="J81" t="b">
        <v>1</v>
      </c>
      <c r="K81" t="b">
        <v>0</v>
      </c>
    </row>
    <row r="82" spans="1:11" x14ac:dyDescent="0.3">
      <c r="A82" t="s">
        <v>9</v>
      </c>
      <c r="B82" t="s">
        <v>68</v>
      </c>
      <c r="C82" t="s">
        <v>185</v>
      </c>
      <c r="D82">
        <v>18.87</v>
      </c>
      <c r="E82" t="s">
        <v>243</v>
      </c>
      <c r="F82" t="s">
        <v>273</v>
      </c>
      <c r="G82" s="2">
        <f t="shared" si="1"/>
        <v>94.350000000000009</v>
      </c>
      <c r="I82" t="s">
        <v>300</v>
      </c>
      <c r="J82" t="b">
        <v>1</v>
      </c>
      <c r="K82" t="b">
        <v>0</v>
      </c>
    </row>
    <row r="83" spans="1:11" x14ac:dyDescent="0.3">
      <c r="A83" t="s">
        <v>9</v>
      </c>
      <c r="B83" t="s">
        <v>69</v>
      </c>
      <c r="C83" t="s">
        <v>186</v>
      </c>
      <c r="D83">
        <v>12</v>
      </c>
      <c r="E83" t="s">
        <v>243</v>
      </c>
      <c r="F83" t="s">
        <v>273</v>
      </c>
      <c r="G83" s="2">
        <f t="shared" si="1"/>
        <v>60</v>
      </c>
      <c r="I83" t="s">
        <v>301</v>
      </c>
      <c r="J83" t="b">
        <v>1</v>
      </c>
      <c r="K83" t="b">
        <v>0</v>
      </c>
    </row>
    <row r="84" spans="1:11" x14ac:dyDescent="0.3">
      <c r="A84" t="s">
        <v>9</v>
      </c>
      <c r="B84" t="s">
        <v>70</v>
      </c>
      <c r="C84" t="s">
        <v>187</v>
      </c>
      <c r="D84">
        <v>12</v>
      </c>
      <c r="E84" t="s">
        <v>243</v>
      </c>
      <c r="F84" t="s">
        <v>273</v>
      </c>
      <c r="G84" s="2">
        <f t="shared" si="1"/>
        <v>60</v>
      </c>
      <c r="I84" t="s">
        <v>301</v>
      </c>
      <c r="J84" t="b">
        <v>1</v>
      </c>
      <c r="K84" t="b">
        <v>0</v>
      </c>
    </row>
    <row r="85" spans="1:11" x14ac:dyDescent="0.3">
      <c r="A85" t="s">
        <v>9</v>
      </c>
      <c r="B85" t="s">
        <v>71</v>
      </c>
      <c r="C85" t="s">
        <v>188</v>
      </c>
      <c r="D85">
        <v>13.95</v>
      </c>
      <c r="E85" t="s">
        <v>247</v>
      </c>
      <c r="F85" t="s">
        <v>276</v>
      </c>
      <c r="G85" s="2">
        <f t="shared" si="1"/>
        <v>55.8</v>
      </c>
      <c r="I85" t="s">
        <v>298</v>
      </c>
      <c r="J85" t="b">
        <v>1</v>
      </c>
      <c r="K85" t="b">
        <v>0</v>
      </c>
    </row>
    <row r="86" spans="1:11" x14ac:dyDescent="0.3">
      <c r="A86" t="s">
        <v>9</v>
      </c>
      <c r="B86" t="s">
        <v>71</v>
      </c>
      <c r="C86" t="s">
        <v>189</v>
      </c>
      <c r="D86">
        <v>24.95</v>
      </c>
      <c r="E86" t="s">
        <v>241</v>
      </c>
      <c r="F86" t="s">
        <v>276</v>
      </c>
      <c r="G86" s="2">
        <f t="shared" si="1"/>
        <v>49.9</v>
      </c>
      <c r="I86" t="s">
        <v>298</v>
      </c>
      <c r="J86" t="b">
        <v>1</v>
      </c>
      <c r="K86" t="b">
        <v>0</v>
      </c>
    </row>
    <row r="87" spans="1:11" x14ac:dyDescent="0.3">
      <c r="A87" t="s">
        <v>9</v>
      </c>
      <c r="B87" t="s">
        <v>72</v>
      </c>
      <c r="C87" t="s">
        <v>190</v>
      </c>
      <c r="D87">
        <v>10</v>
      </c>
      <c r="E87" t="s">
        <v>247</v>
      </c>
      <c r="F87" t="s">
        <v>276</v>
      </c>
      <c r="G87" s="2">
        <f t="shared" si="1"/>
        <v>40</v>
      </c>
      <c r="I87" t="s">
        <v>302</v>
      </c>
      <c r="J87" t="b">
        <v>1</v>
      </c>
      <c r="K87" t="b">
        <v>0</v>
      </c>
    </row>
    <row r="88" spans="1:11" x14ac:dyDescent="0.3">
      <c r="A88" t="s">
        <v>9</v>
      </c>
      <c r="B88" t="s">
        <v>73</v>
      </c>
      <c r="C88" t="s">
        <v>191</v>
      </c>
      <c r="D88">
        <v>29</v>
      </c>
      <c r="E88" t="s">
        <v>239</v>
      </c>
      <c r="F88" t="s">
        <v>273</v>
      </c>
      <c r="G88" s="2">
        <f t="shared" si="1"/>
        <v>29</v>
      </c>
      <c r="I88" t="s">
        <v>303</v>
      </c>
      <c r="J88" t="b">
        <v>1</v>
      </c>
      <c r="K88" t="b">
        <v>0</v>
      </c>
    </row>
    <row r="89" spans="1:11" x14ac:dyDescent="0.3">
      <c r="A89" t="s">
        <v>9</v>
      </c>
      <c r="B89" t="s">
        <v>73</v>
      </c>
      <c r="C89" t="s">
        <v>192</v>
      </c>
      <c r="D89">
        <v>16</v>
      </c>
      <c r="E89" t="s">
        <v>242</v>
      </c>
      <c r="F89" t="s">
        <v>273</v>
      </c>
      <c r="G89" s="2">
        <f t="shared" si="1"/>
        <v>40</v>
      </c>
      <c r="I89" t="s">
        <v>303</v>
      </c>
      <c r="J89" t="b">
        <v>1</v>
      </c>
      <c r="K89" t="b">
        <v>0</v>
      </c>
    </row>
    <row r="90" spans="1:11" x14ac:dyDescent="0.3">
      <c r="A90" t="s">
        <v>9</v>
      </c>
      <c r="B90" t="s">
        <v>74</v>
      </c>
      <c r="C90" t="s">
        <v>193</v>
      </c>
      <c r="D90">
        <v>13.5</v>
      </c>
      <c r="E90" t="s">
        <v>239</v>
      </c>
      <c r="F90" t="s">
        <v>276</v>
      </c>
      <c r="G90" s="2">
        <f t="shared" si="1"/>
        <v>13.5</v>
      </c>
      <c r="I90" t="s">
        <v>304</v>
      </c>
      <c r="J90" t="b">
        <v>1</v>
      </c>
      <c r="K90" t="b">
        <v>0</v>
      </c>
    </row>
    <row r="91" spans="1:11" x14ac:dyDescent="0.3">
      <c r="A91" t="s">
        <v>9</v>
      </c>
      <c r="B91" t="s">
        <v>75</v>
      </c>
      <c r="C91" t="s">
        <v>194</v>
      </c>
      <c r="D91">
        <v>7.95</v>
      </c>
      <c r="E91" t="s">
        <v>262</v>
      </c>
      <c r="F91" t="s">
        <v>273</v>
      </c>
      <c r="G91" s="2">
        <f t="shared" si="1"/>
        <v>63.6</v>
      </c>
      <c r="I91" t="s">
        <v>305</v>
      </c>
      <c r="J91" t="b">
        <v>1</v>
      </c>
      <c r="K91" t="b">
        <v>0</v>
      </c>
    </row>
    <row r="92" spans="1:11" x14ac:dyDescent="0.3">
      <c r="A92" t="s">
        <v>9</v>
      </c>
      <c r="B92" t="s">
        <v>75</v>
      </c>
      <c r="C92" t="s">
        <v>195</v>
      </c>
      <c r="D92">
        <v>14.35</v>
      </c>
      <c r="E92" t="s">
        <v>243</v>
      </c>
      <c r="F92" t="s">
        <v>273</v>
      </c>
      <c r="G92" s="2">
        <f t="shared" si="1"/>
        <v>71.75</v>
      </c>
      <c r="I92" t="s">
        <v>306</v>
      </c>
      <c r="J92" t="b">
        <v>1</v>
      </c>
      <c r="K92" t="b">
        <v>0</v>
      </c>
    </row>
    <row r="93" spans="1:11" x14ac:dyDescent="0.3">
      <c r="A93" t="s">
        <v>9</v>
      </c>
      <c r="B93" t="s">
        <v>76</v>
      </c>
      <c r="C93" t="s">
        <v>196</v>
      </c>
      <c r="D93">
        <v>14.95</v>
      </c>
      <c r="E93" t="s">
        <v>250</v>
      </c>
      <c r="F93" t="s">
        <v>273</v>
      </c>
      <c r="G93" s="2">
        <f t="shared" si="1"/>
        <v>99.666666666666671</v>
      </c>
      <c r="I93" t="s">
        <v>307</v>
      </c>
      <c r="J93" t="b">
        <v>1</v>
      </c>
      <c r="K93" t="b">
        <v>0</v>
      </c>
    </row>
    <row r="94" spans="1:11" x14ac:dyDescent="0.3">
      <c r="A94" t="s">
        <v>9</v>
      </c>
      <c r="B94" t="s">
        <v>76</v>
      </c>
      <c r="C94" t="s">
        <v>197</v>
      </c>
      <c r="D94">
        <v>24.95</v>
      </c>
      <c r="E94" t="s">
        <v>243</v>
      </c>
      <c r="F94" t="s">
        <v>273</v>
      </c>
      <c r="G94" s="2">
        <f t="shared" si="1"/>
        <v>124.75</v>
      </c>
      <c r="I94" t="s">
        <v>308</v>
      </c>
      <c r="J94" t="b">
        <v>1</v>
      </c>
      <c r="K94" t="b">
        <v>0</v>
      </c>
    </row>
    <row r="95" spans="1:11" x14ac:dyDescent="0.3">
      <c r="A95" t="s">
        <v>9</v>
      </c>
      <c r="B95" t="s">
        <v>77</v>
      </c>
      <c r="C95" t="s">
        <v>198</v>
      </c>
      <c r="D95">
        <v>25.95</v>
      </c>
      <c r="E95" t="s">
        <v>241</v>
      </c>
      <c r="F95" t="s">
        <v>276</v>
      </c>
      <c r="G95" s="2">
        <f t="shared" si="1"/>
        <v>51.9</v>
      </c>
      <c r="I95" t="s">
        <v>289</v>
      </c>
      <c r="J95" t="b">
        <v>1</v>
      </c>
      <c r="K95" t="b">
        <v>0</v>
      </c>
    </row>
    <row r="96" spans="1:11" x14ac:dyDescent="0.3">
      <c r="A96" t="s">
        <v>9</v>
      </c>
      <c r="B96" t="s">
        <v>77</v>
      </c>
      <c r="C96" t="s">
        <v>199</v>
      </c>
      <c r="D96">
        <v>14.95</v>
      </c>
      <c r="E96" t="s">
        <v>247</v>
      </c>
      <c r="F96" t="s">
        <v>276</v>
      </c>
      <c r="G96" s="2">
        <f t="shared" si="1"/>
        <v>59.8</v>
      </c>
      <c r="I96" t="s">
        <v>298</v>
      </c>
      <c r="J96" t="b">
        <v>1</v>
      </c>
      <c r="K96" t="b">
        <v>0</v>
      </c>
    </row>
    <row r="97" spans="1:11" x14ac:dyDescent="0.3">
      <c r="A97" t="s">
        <v>9</v>
      </c>
      <c r="B97" t="s">
        <v>78</v>
      </c>
      <c r="C97" t="s">
        <v>200</v>
      </c>
      <c r="D97">
        <v>10.95</v>
      </c>
      <c r="E97" t="s">
        <v>239</v>
      </c>
      <c r="F97" t="s">
        <v>276</v>
      </c>
      <c r="G97" s="2">
        <f t="shared" si="1"/>
        <v>10.95</v>
      </c>
      <c r="I97" t="s">
        <v>289</v>
      </c>
      <c r="J97" t="b">
        <v>1</v>
      </c>
      <c r="K97" t="b">
        <v>0</v>
      </c>
    </row>
    <row r="98" spans="1:11" x14ac:dyDescent="0.3">
      <c r="A98" t="s">
        <v>9</v>
      </c>
      <c r="B98" t="s">
        <v>79</v>
      </c>
      <c r="C98" t="s">
        <v>201</v>
      </c>
      <c r="D98">
        <v>10.5</v>
      </c>
      <c r="E98" t="s">
        <v>239</v>
      </c>
      <c r="F98" t="s">
        <v>276</v>
      </c>
      <c r="G98" s="2">
        <f t="shared" si="1"/>
        <v>10.5</v>
      </c>
      <c r="I98" t="s">
        <v>289</v>
      </c>
      <c r="J98" t="b">
        <v>1</v>
      </c>
      <c r="K98" t="b">
        <v>0</v>
      </c>
    </row>
    <row r="99" spans="1:11" x14ac:dyDescent="0.3">
      <c r="A99" t="s">
        <v>9</v>
      </c>
      <c r="B99" t="s">
        <v>80</v>
      </c>
      <c r="C99" t="s">
        <v>202</v>
      </c>
      <c r="D99">
        <v>17.95</v>
      </c>
      <c r="E99" t="s">
        <v>241</v>
      </c>
      <c r="F99" t="s">
        <v>273</v>
      </c>
      <c r="G99" s="2">
        <f t="shared" si="1"/>
        <v>35.9</v>
      </c>
      <c r="I99" t="s">
        <v>289</v>
      </c>
      <c r="J99" t="b">
        <v>1</v>
      </c>
      <c r="K99" t="b">
        <v>0</v>
      </c>
    </row>
    <row r="100" spans="1:11" x14ac:dyDescent="0.3">
      <c r="A100" t="s">
        <v>9</v>
      </c>
      <c r="B100" t="s">
        <v>80</v>
      </c>
      <c r="C100" t="s">
        <v>203</v>
      </c>
      <c r="D100">
        <v>10.95</v>
      </c>
      <c r="E100" t="s">
        <v>247</v>
      </c>
      <c r="F100" t="s">
        <v>273</v>
      </c>
      <c r="G100" s="2">
        <f t="shared" si="1"/>
        <v>43.8</v>
      </c>
      <c r="I100" t="s">
        <v>309</v>
      </c>
      <c r="J100" t="b">
        <v>1</v>
      </c>
      <c r="K100" t="b">
        <v>0</v>
      </c>
    </row>
    <row r="101" spans="1:11" x14ac:dyDescent="0.3">
      <c r="A101" t="s">
        <v>9</v>
      </c>
      <c r="B101" t="s">
        <v>81</v>
      </c>
      <c r="C101" t="s">
        <v>204</v>
      </c>
      <c r="D101">
        <v>14.01</v>
      </c>
      <c r="E101" t="s">
        <v>263</v>
      </c>
      <c r="F101" t="s">
        <v>273</v>
      </c>
      <c r="G101" s="2">
        <f t="shared" si="1"/>
        <v>50.945454545454545</v>
      </c>
      <c r="I101" t="s">
        <v>288</v>
      </c>
      <c r="J101" t="b">
        <v>1</v>
      </c>
      <c r="K101" t="b">
        <v>0</v>
      </c>
    </row>
    <row r="102" spans="1:11" x14ac:dyDescent="0.3">
      <c r="A102" t="s">
        <v>9</v>
      </c>
      <c r="B102" t="s">
        <v>82</v>
      </c>
      <c r="C102" t="s">
        <v>205</v>
      </c>
      <c r="D102">
        <v>10.95</v>
      </c>
      <c r="E102" t="s">
        <v>242</v>
      </c>
      <c r="F102" t="s">
        <v>273</v>
      </c>
      <c r="G102" s="2">
        <f t="shared" si="1"/>
        <v>27.374999999999996</v>
      </c>
      <c r="I102" t="s">
        <v>288</v>
      </c>
      <c r="J102" t="b">
        <v>1</v>
      </c>
      <c r="K102" t="b">
        <v>0</v>
      </c>
    </row>
    <row r="103" spans="1:11" x14ac:dyDescent="0.3">
      <c r="A103" t="s">
        <v>9</v>
      </c>
      <c r="B103" t="s">
        <v>83</v>
      </c>
      <c r="C103" t="s">
        <v>206</v>
      </c>
      <c r="D103">
        <v>15</v>
      </c>
      <c r="E103" t="s">
        <v>264</v>
      </c>
      <c r="F103" t="s">
        <v>273</v>
      </c>
      <c r="G103" s="2">
        <f t="shared" si="1"/>
        <v>45.454545454545453</v>
      </c>
      <c r="I103" t="s">
        <v>310</v>
      </c>
      <c r="J103" t="b">
        <v>1</v>
      </c>
      <c r="K103" t="b">
        <v>0</v>
      </c>
    </row>
    <row r="104" spans="1:11" x14ac:dyDescent="0.3">
      <c r="A104" t="s">
        <v>9</v>
      </c>
      <c r="B104" t="s">
        <v>84</v>
      </c>
      <c r="C104" t="s">
        <v>207</v>
      </c>
      <c r="D104">
        <v>13.43</v>
      </c>
      <c r="E104" t="s">
        <v>242</v>
      </c>
      <c r="F104" t="s">
        <v>273</v>
      </c>
      <c r="G104" s="2">
        <f t="shared" si="1"/>
        <v>33.575000000000003</v>
      </c>
      <c r="I104" t="s">
        <v>310</v>
      </c>
      <c r="J104" t="b">
        <v>1</v>
      </c>
      <c r="K104" t="b">
        <v>0</v>
      </c>
    </row>
    <row r="105" spans="1:11" x14ac:dyDescent="0.3">
      <c r="A105" t="s">
        <v>9</v>
      </c>
      <c r="B105" t="s">
        <v>85</v>
      </c>
      <c r="C105" t="s">
        <v>208</v>
      </c>
      <c r="D105">
        <v>10.7</v>
      </c>
      <c r="E105" t="s">
        <v>265</v>
      </c>
      <c r="F105" t="s">
        <v>273</v>
      </c>
      <c r="G105" s="2">
        <f t="shared" si="1"/>
        <v>28.918918918918919</v>
      </c>
      <c r="I105" t="s">
        <v>311</v>
      </c>
      <c r="J105" t="b">
        <v>1</v>
      </c>
      <c r="K105" t="b">
        <v>0</v>
      </c>
    </row>
    <row r="106" spans="1:11" x14ac:dyDescent="0.3">
      <c r="A106" t="s">
        <v>9</v>
      </c>
      <c r="B106" t="s">
        <v>86</v>
      </c>
      <c r="C106" t="s">
        <v>209</v>
      </c>
      <c r="D106">
        <v>5.75</v>
      </c>
      <c r="E106" t="s">
        <v>241</v>
      </c>
      <c r="F106" t="s">
        <v>273</v>
      </c>
      <c r="G106" s="2">
        <f t="shared" si="1"/>
        <v>11.5</v>
      </c>
      <c r="I106" t="s">
        <v>312</v>
      </c>
      <c r="J106" t="b">
        <v>1</v>
      </c>
      <c r="K106" t="b">
        <v>0</v>
      </c>
    </row>
    <row r="107" spans="1:11" x14ac:dyDescent="0.3">
      <c r="A107" t="s">
        <v>9</v>
      </c>
      <c r="B107" t="s">
        <v>87</v>
      </c>
      <c r="C107" t="s">
        <v>210</v>
      </c>
      <c r="D107">
        <v>18.82</v>
      </c>
      <c r="E107" t="s">
        <v>242</v>
      </c>
      <c r="F107" t="s">
        <v>273</v>
      </c>
      <c r="G107" s="2">
        <f t="shared" si="1"/>
        <v>47.050000000000004</v>
      </c>
      <c r="I107" t="s">
        <v>313</v>
      </c>
      <c r="J107" t="b">
        <v>1</v>
      </c>
      <c r="K107" t="b">
        <v>0</v>
      </c>
    </row>
    <row r="108" spans="1:11" x14ac:dyDescent="0.3">
      <c r="A108" t="s">
        <v>9</v>
      </c>
      <c r="B108" t="s">
        <v>88</v>
      </c>
      <c r="C108" t="s">
        <v>211</v>
      </c>
      <c r="D108">
        <v>15.02</v>
      </c>
      <c r="E108" t="s">
        <v>239</v>
      </c>
      <c r="F108" t="s">
        <v>273</v>
      </c>
      <c r="G108" s="2">
        <f t="shared" si="1"/>
        <v>15.02</v>
      </c>
      <c r="I108" t="s">
        <v>314</v>
      </c>
      <c r="J108" t="b">
        <v>1</v>
      </c>
      <c r="K108" t="b">
        <v>0</v>
      </c>
    </row>
    <row r="109" spans="1:11" x14ac:dyDescent="0.3">
      <c r="A109" t="s">
        <v>9</v>
      </c>
      <c r="B109" t="s">
        <v>89</v>
      </c>
      <c r="C109" t="s">
        <v>212</v>
      </c>
      <c r="D109">
        <v>17.95</v>
      </c>
      <c r="E109" t="s">
        <v>239</v>
      </c>
      <c r="F109" t="s">
        <v>273</v>
      </c>
      <c r="G109" s="2">
        <f t="shared" si="1"/>
        <v>17.95</v>
      </c>
      <c r="I109" t="s">
        <v>314</v>
      </c>
      <c r="J109" t="b">
        <v>1</v>
      </c>
      <c r="K109" t="b">
        <v>0</v>
      </c>
    </row>
    <row r="110" spans="1:11" x14ac:dyDescent="0.3">
      <c r="A110" t="s">
        <v>9</v>
      </c>
      <c r="B110" t="s">
        <v>90</v>
      </c>
      <c r="C110" t="s">
        <v>213</v>
      </c>
      <c r="D110">
        <v>12.95</v>
      </c>
      <c r="E110" t="s">
        <v>266</v>
      </c>
      <c r="F110" t="s">
        <v>273</v>
      </c>
      <c r="G110" s="2">
        <f t="shared" si="1"/>
        <v>129.5</v>
      </c>
      <c r="I110" t="s">
        <v>315</v>
      </c>
      <c r="J110" t="b">
        <v>1</v>
      </c>
      <c r="K110" t="b">
        <v>0</v>
      </c>
    </row>
    <row r="111" spans="1:11" x14ac:dyDescent="0.3">
      <c r="A111" t="s">
        <v>9</v>
      </c>
      <c r="B111" t="s">
        <v>90</v>
      </c>
      <c r="F111" t="s">
        <v>275</v>
      </c>
      <c r="G111" s="2"/>
    </row>
    <row r="112" spans="1:11" x14ac:dyDescent="0.3">
      <c r="A112" t="s">
        <v>9</v>
      </c>
      <c r="B112" t="s">
        <v>91</v>
      </c>
      <c r="C112" t="s">
        <v>214</v>
      </c>
      <c r="D112">
        <v>7.07</v>
      </c>
      <c r="E112" t="s">
        <v>247</v>
      </c>
      <c r="F112" t="s">
        <v>273</v>
      </c>
      <c r="G112" s="2">
        <f t="shared" si="1"/>
        <v>28.28</v>
      </c>
      <c r="I112" t="s">
        <v>315</v>
      </c>
      <c r="J112" t="b">
        <v>1</v>
      </c>
      <c r="K112" t="b">
        <v>0</v>
      </c>
    </row>
    <row r="113" spans="1:11" x14ac:dyDescent="0.3">
      <c r="A113" t="s">
        <v>9</v>
      </c>
      <c r="B113" t="s">
        <v>92</v>
      </c>
      <c r="C113" t="s">
        <v>215</v>
      </c>
      <c r="D113">
        <v>10.95</v>
      </c>
      <c r="E113" t="s">
        <v>243</v>
      </c>
      <c r="F113" t="s">
        <v>273</v>
      </c>
      <c r="G113" s="2">
        <f t="shared" si="1"/>
        <v>54.749999999999993</v>
      </c>
      <c r="I113" t="s">
        <v>315</v>
      </c>
      <c r="J113" t="b">
        <v>1</v>
      </c>
      <c r="K113" t="b">
        <v>0</v>
      </c>
    </row>
    <row r="114" spans="1:11" x14ac:dyDescent="0.3">
      <c r="A114" t="s">
        <v>9</v>
      </c>
      <c r="B114" t="s">
        <v>93</v>
      </c>
      <c r="C114" t="s">
        <v>216</v>
      </c>
      <c r="D114">
        <v>4.9800000000000004</v>
      </c>
      <c r="E114" t="s">
        <v>241</v>
      </c>
      <c r="F114" t="s">
        <v>273</v>
      </c>
      <c r="G114" s="2">
        <f t="shared" si="1"/>
        <v>9.9600000000000009</v>
      </c>
      <c r="I114" t="s">
        <v>306</v>
      </c>
      <c r="J114" t="b">
        <v>1</v>
      </c>
      <c r="K114" t="b">
        <v>0</v>
      </c>
    </row>
    <row r="115" spans="1:11" x14ac:dyDescent="0.3">
      <c r="A115" t="s">
        <v>9</v>
      </c>
      <c r="B115" t="s">
        <v>94</v>
      </c>
      <c r="C115" t="s">
        <v>217</v>
      </c>
      <c r="D115">
        <v>5.95</v>
      </c>
      <c r="E115" t="s">
        <v>241</v>
      </c>
      <c r="F115" t="s">
        <v>273</v>
      </c>
      <c r="G115" s="2">
        <f t="shared" si="1"/>
        <v>11.9</v>
      </c>
      <c r="I115" t="s">
        <v>306</v>
      </c>
      <c r="J115" t="b">
        <v>1</v>
      </c>
      <c r="K115" t="b">
        <v>0</v>
      </c>
    </row>
    <row r="116" spans="1:11" x14ac:dyDescent="0.3">
      <c r="A116" t="s">
        <v>9</v>
      </c>
      <c r="B116" t="s">
        <v>95</v>
      </c>
      <c r="C116" t="s">
        <v>218</v>
      </c>
      <c r="D116">
        <v>6.37</v>
      </c>
      <c r="E116" t="s">
        <v>242</v>
      </c>
      <c r="F116" t="s">
        <v>273</v>
      </c>
      <c r="G116" s="2">
        <f t="shared" si="1"/>
        <v>15.925000000000002</v>
      </c>
      <c r="I116" t="s">
        <v>313</v>
      </c>
      <c r="J116" t="b">
        <v>1</v>
      </c>
      <c r="K116" t="b">
        <v>0</v>
      </c>
    </row>
    <row r="117" spans="1:11" x14ac:dyDescent="0.3">
      <c r="A117" t="s">
        <v>9</v>
      </c>
      <c r="B117" t="s">
        <v>96</v>
      </c>
      <c r="C117" t="s">
        <v>219</v>
      </c>
      <c r="D117">
        <v>8.9499999999999993</v>
      </c>
      <c r="E117" t="s">
        <v>242</v>
      </c>
      <c r="F117" t="s">
        <v>276</v>
      </c>
      <c r="G117" s="2">
        <f t="shared" si="1"/>
        <v>22.375</v>
      </c>
      <c r="I117" t="s">
        <v>315</v>
      </c>
      <c r="J117" t="b">
        <v>1</v>
      </c>
      <c r="K117" t="b">
        <v>0</v>
      </c>
    </row>
    <row r="118" spans="1:11" x14ac:dyDescent="0.3">
      <c r="A118" t="s">
        <v>9</v>
      </c>
      <c r="B118" t="s">
        <v>97</v>
      </c>
      <c r="C118" t="s">
        <v>220</v>
      </c>
      <c r="D118">
        <v>6.1</v>
      </c>
      <c r="E118" t="s">
        <v>261</v>
      </c>
      <c r="F118" t="s">
        <v>273</v>
      </c>
      <c r="G118" s="2">
        <f t="shared" si="1"/>
        <v>43.571428571428569</v>
      </c>
      <c r="I118" t="s">
        <v>308</v>
      </c>
      <c r="J118" t="b">
        <v>1</v>
      </c>
      <c r="K118" t="b">
        <v>0</v>
      </c>
    </row>
    <row r="119" spans="1:11" x14ac:dyDescent="0.3">
      <c r="A119" t="s">
        <v>9</v>
      </c>
      <c r="B119" t="s">
        <v>98</v>
      </c>
      <c r="C119" t="s">
        <v>221</v>
      </c>
      <c r="D119">
        <v>7.91</v>
      </c>
      <c r="E119" t="s">
        <v>267</v>
      </c>
      <c r="F119" t="s">
        <v>273</v>
      </c>
      <c r="G119" s="2">
        <f t="shared" si="1"/>
        <v>20.545454545454547</v>
      </c>
      <c r="I119" t="s">
        <v>283</v>
      </c>
      <c r="J119" t="b">
        <v>1</v>
      </c>
      <c r="K119" t="b">
        <v>0</v>
      </c>
    </row>
    <row r="120" spans="1:11" x14ac:dyDescent="0.3">
      <c r="A120" t="s">
        <v>9</v>
      </c>
      <c r="B120" t="s">
        <v>99</v>
      </c>
      <c r="C120" t="s">
        <v>222</v>
      </c>
      <c r="D120">
        <v>8.9499999999999993</v>
      </c>
      <c r="E120" t="s">
        <v>239</v>
      </c>
      <c r="F120" t="s">
        <v>273</v>
      </c>
      <c r="G120" s="2">
        <f t="shared" si="1"/>
        <v>8.9499999999999993</v>
      </c>
      <c r="I120" t="s">
        <v>316</v>
      </c>
      <c r="J120" t="b">
        <v>1</v>
      </c>
      <c r="K120" t="b">
        <v>0</v>
      </c>
    </row>
    <row r="121" spans="1:11" x14ac:dyDescent="0.3">
      <c r="A121" t="s">
        <v>9</v>
      </c>
      <c r="B121" t="s">
        <v>100</v>
      </c>
      <c r="C121" t="s">
        <v>223</v>
      </c>
      <c r="D121">
        <v>10.46</v>
      </c>
      <c r="E121" t="s">
        <v>268</v>
      </c>
      <c r="F121" t="s">
        <v>273</v>
      </c>
      <c r="G121" s="2">
        <f t="shared" si="1"/>
        <v>55.052631578947377</v>
      </c>
      <c r="I121" t="s">
        <v>306</v>
      </c>
      <c r="J121" t="b">
        <v>1</v>
      </c>
      <c r="K121" t="b">
        <v>0</v>
      </c>
    </row>
    <row r="122" spans="1:11" x14ac:dyDescent="0.3">
      <c r="A122" t="s">
        <v>9</v>
      </c>
      <c r="B122" t="s">
        <v>101</v>
      </c>
      <c r="C122" t="s">
        <v>224</v>
      </c>
      <c r="D122">
        <v>10.46</v>
      </c>
      <c r="E122" t="s">
        <v>268</v>
      </c>
      <c r="F122" t="s">
        <v>273</v>
      </c>
      <c r="G122" s="2">
        <f t="shared" si="1"/>
        <v>55.052631578947377</v>
      </c>
      <c r="I122" t="s">
        <v>306</v>
      </c>
      <c r="J122" t="b">
        <v>1</v>
      </c>
      <c r="K122" t="b">
        <v>0</v>
      </c>
    </row>
    <row r="123" spans="1:11" x14ac:dyDescent="0.3">
      <c r="A123" t="s">
        <v>9</v>
      </c>
      <c r="B123" t="s">
        <v>102</v>
      </c>
      <c r="C123" t="s">
        <v>225</v>
      </c>
      <c r="D123">
        <v>19.95</v>
      </c>
      <c r="E123" t="s">
        <v>243</v>
      </c>
      <c r="F123" t="s">
        <v>273</v>
      </c>
      <c r="G123" s="2">
        <f t="shared" si="1"/>
        <v>99.749999999999986</v>
      </c>
      <c r="I123" t="s">
        <v>307</v>
      </c>
      <c r="J123" t="b">
        <v>1</v>
      </c>
      <c r="K123" t="b">
        <v>0</v>
      </c>
    </row>
    <row r="124" spans="1:11" x14ac:dyDescent="0.3">
      <c r="A124" t="s">
        <v>9</v>
      </c>
      <c r="B124" t="s">
        <v>103</v>
      </c>
      <c r="C124" t="s">
        <v>226</v>
      </c>
      <c r="D124">
        <v>7.86</v>
      </c>
      <c r="E124" t="s">
        <v>269</v>
      </c>
      <c r="F124" t="s">
        <v>273</v>
      </c>
      <c r="G124" s="2">
        <f t="shared" si="1"/>
        <v>31.951219512195124</v>
      </c>
      <c r="I124" t="s">
        <v>313</v>
      </c>
      <c r="J124" t="b">
        <v>1</v>
      </c>
      <c r="K124" t="b">
        <v>0</v>
      </c>
    </row>
    <row r="125" spans="1:11" x14ac:dyDescent="0.3">
      <c r="A125" t="s">
        <v>9</v>
      </c>
      <c r="B125" t="s">
        <v>104</v>
      </c>
      <c r="C125" t="s">
        <v>227</v>
      </c>
      <c r="D125">
        <v>7.78</v>
      </c>
      <c r="E125" t="s">
        <v>270</v>
      </c>
      <c r="F125" t="s">
        <v>273</v>
      </c>
      <c r="G125" s="2">
        <v>30.87</v>
      </c>
      <c r="I125" t="s">
        <v>313</v>
      </c>
      <c r="J125" t="b">
        <v>1</v>
      </c>
      <c r="K125" t="b">
        <v>0</v>
      </c>
    </row>
    <row r="126" spans="1:11" x14ac:dyDescent="0.3">
      <c r="A126" t="s">
        <v>9</v>
      </c>
      <c r="B126" t="s">
        <v>105</v>
      </c>
      <c r="C126" t="s">
        <v>323</v>
      </c>
      <c r="D126">
        <v>8.3000000000000007</v>
      </c>
      <c r="E126" s="4">
        <v>420</v>
      </c>
      <c r="F126" t="s">
        <v>273</v>
      </c>
      <c r="G126" s="2">
        <f t="shared" si="1"/>
        <v>19.761904761904766</v>
      </c>
      <c r="I126" t="s">
        <v>283</v>
      </c>
      <c r="J126" t="b">
        <v>1</v>
      </c>
      <c r="K126" t="b">
        <v>0</v>
      </c>
    </row>
    <row r="127" spans="1:11" x14ac:dyDescent="0.3">
      <c r="A127" t="s">
        <v>9</v>
      </c>
      <c r="B127" t="s">
        <v>106</v>
      </c>
      <c r="C127" t="s">
        <v>228</v>
      </c>
      <c r="D127">
        <v>17</v>
      </c>
      <c r="E127" t="s">
        <v>243</v>
      </c>
      <c r="F127" t="s">
        <v>273</v>
      </c>
      <c r="G127" s="2">
        <f t="shared" si="1"/>
        <v>85</v>
      </c>
      <c r="I127" t="s">
        <v>317</v>
      </c>
      <c r="J127" t="b">
        <v>1</v>
      </c>
      <c r="K127" t="b">
        <v>0</v>
      </c>
    </row>
    <row r="128" spans="1:11" x14ac:dyDescent="0.3">
      <c r="A128" t="s">
        <v>9</v>
      </c>
      <c r="B128" t="s">
        <v>106</v>
      </c>
      <c r="C128" t="s">
        <v>229</v>
      </c>
      <c r="D128">
        <v>15.99</v>
      </c>
      <c r="E128" t="s">
        <v>271</v>
      </c>
      <c r="F128" t="s">
        <v>273</v>
      </c>
      <c r="G128" s="2">
        <f t="shared" si="1"/>
        <v>88.833333333333329</v>
      </c>
      <c r="I128" t="s">
        <v>318</v>
      </c>
      <c r="J128" t="b">
        <v>1</v>
      </c>
      <c r="K128" t="b">
        <v>0</v>
      </c>
    </row>
    <row r="129" spans="1:11" x14ac:dyDescent="0.3">
      <c r="A129" t="s">
        <v>9</v>
      </c>
      <c r="B129" t="s">
        <v>107</v>
      </c>
      <c r="C129" t="s">
        <v>230</v>
      </c>
      <c r="D129">
        <v>21.67</v>
      </c>
      <c r="E129" t="s">
        <v>272</v>
      </c>
      <c r="F129" t="s">
        <v>273</v>
      </c>
      <c r="G129" s="2">
        <f t="shared" si="1"/>
        <v>83.346153846153854</v>
      </c>
      <c r="I129" t="s">
        <v>319</v>
      </c>
      <c r="J129" t="b">
        <v>1</v>
      </c>
      <c r="K129" t="b">
        <v>0</v>
      </c>
    </row>
    <row r="130" spans="1:11" x14ac:dyDescent="0.3">
      <c r="A130" t="s">
        <v>9</v>
      </c>
      <c r="B130" t="s">
        <v>108</v>
      </c>
      <c r="C130" t="s">
        <v>231</v>
      </c>
      <c r="D130">
        <v>19.95</v>
      </c>
      <c r="E130" t="s">
        <v>242</v>
      </c>
      <c r="F130" t="s">
        <v>273</v>
      </c>
      <c r="G130" s="2">
        <f t="shared" si="1"/>
        <v>49.874999999999993</v>
      </c>
      <c r="I130" t="s">
        <v>313</v>
      </c>
      <c r="J130" t="b">
        <v>1</v>
      </c>
      <c r="K130" t="b">
        <v>0</v>
      </c>
    </row>
    <row r="131" spans="1:11" x14ac:dyDescent="0.3">
      <c r="A131" t="s">
        <v>9</v>
      </c>
      <c r="B131" t="s">
        <v>109</v>
      </c>
      <c r="C131" t="s">
        <v>232</v>
      </c>
      <c r="D131">
        <v>16.95</v>
      </c>
      <c r="E131" t="s">
        <v>242</v>
      </c>
      <c r="F131" t="s">
        <v>273</v>
      </c>
      <c r="G131" s="2">
        <f t="shared" si="1"/>
        <v>42.374999999999993</v>
      </c>
      <c r="I131" t="s">
        <v>313</v>
      </c>
      <c r="J131" t="b">
        <v>1</v>
      </c>
      <c r="K131" t="b">
        <v>0</v>
      </c>
    </row>
    <row r="132" spans="1:11" x14ac:dyDescent="0.3">
      <c r="A132" t="s">
        <v>9</v>
      </c>
      <c r="B132" t="s">
        <v>84</v>
      </c>
      <c r="C132" t="s">
        <v>207</v>
      </c>
      <c r="D132">
        <v>13.43</v>
      </c>
      <c r="E132" t="s">
        <v>242</v>
      </c>
      <c r="F132" t="s">
        <v>273</v>
      </c>
      <c r="G132" s="2">
        <f t="shared" si="1"/>
        <v>33.575000000000003</v>
      </c>
      <c r="I132" t="s">
        <v>310</v>
      </c>
      <c r="J132" t="b">
        <v>1</v>
      </c>
      <c r="K132" t="b">
        <v>0</v>
      </c>
    </row>
    <row r="133" spans="1:11" x14ac:dyDescent="0.3">
      <c r="A133" t="s">
        <v>9</v>
      </c>
      <c r="B133" t="s">
        <v>110</v>
      </c>
      <c r="C133" t="s">
        <v>233</v>
      </c>
      <c r="D133">
        <v>9</v>
      </c>
      <c r="E133" t="s">
        <v>244</v>
      </c>
      <c r="F133" t="s">
        <v>274</v>
      </c>
      <c r="G133" s="2"/>
      <c r="H133">
        <v>9</v>
      </c>
      <c r="I133" t="s">
        <v>281</v>
      </c>
      <c r="J133" t="b">
        <v>1</v>
      </c>
      <c r="K133" t="b">
        <v>0</v>
      </c>
    </row>
    <row r="134" spans="1:11" x14ac:dyDescent="0.3">
      <c r="A134" t="s">
        <v>9</v>
      </c>
      <c r="B134" t="s">
        <v>322</v>
      </c>
      <c r="C134" t="s">
        <v>234</v>
      </c>
      <c r="D134">
        <v>11</v>
      </c>
      <c r="E134" t="s">
        <v>246</v>
      </c>
      <c r="F134" t="s">
        <v>273</v>
      </c>
      <c r="G134" s="2">
        <f t="shared" ref="G134:G146" si="2">D134/E134*1000</f>
        <v>146.66666666666666</v>
      </c>
      <c r="I134" t="s">
        <v>278</v>
      </c>
      <c r="J134" t="b">
        <v>1</v>
      </c>
      <c r="K134" t="b">
        <v>0</v>
      </c>
    </row>
    <row r="135" spans="1:11" x14ac:dyDescent="0.3">
      <c r="A135" t="s">
        <v>9</v>
      </c>
      <c r="B135" t="s">
        <v>111</v>
      </c>
      <c r="C135" t="s">
        <v>235</v>
      </c>
      <c r="D135">
        <v>16</v>
      </c>
      <c r="E135" t="s">
        <v>244</v>
      </c>
      <c r="F135" t="s">
        <v>274</v>
      </c>
      <c r="G135" s="2"/>
      <c r="H135">
        <v>16</v>
      </c>
      <c r="I135" t="s">
        <v>281</v>
      </c>
      <c r="J135" t="b">
        <v>1</v>
      </c>
      <c r="K135" t="b">
        <v>0</v>
      </c>
    </row>
    <row r="136" spans="1:11" x14ac:dyDescent="0.3">
      <c r="A136" t="s">
        <v>9</v>
      </c>
      <c r="B136" t="s">
        <v>112</v>
      </c>
      <c r="C136" t="s">
        <v>236</v>
      </c>
      <c r="D136">
        <v>19</v>
      </c>
      <c r="E136" t="s">
        <v>244</v>
      </c>
      <c r="F136" t="s">
        <v>274</v>
      </c>
      <c r="G136" s="2"/>
      <c r="H136">
        <v>19</v>
      </c>
      <c r="I136" t="s">
        <v>278</v>
      </c>
      <c r="J136" t="b">
        <v>1</v>
      </c>
      <c r="K136" t="b">
        <v>0</v>
      </c>
    </row>
    <row r="137" spans="1:11" x14ac:dyDescent="0.3">
      <c r="A137" t="s">
        <v>9</v>
      </c>
      <c r="B137" t="s">
        <v>113</v>
      </c>
      <c r="C137" t="s">
        <v>237</v>
      </c>
      <c r="D137">
        <v>20</v>
      </c>
      <c r="E137" t="s">
        <v>241</v>
      </c>
      <c r="F137" t="s">
        <v>273</v>
      </c>
      <c r="G137" s="2">
        <f t="shared" si="2"/>
        <v>40</v>
      </c>
      <c r="I137" t="s">
        <v>281</v>
      </c>
      <c r="J137" t="b">
        <v>1</v>
      </c>
      <c r="K137" t="b">
        <v>0</v>
      </c>
    </row>
    <row r="138" spans="1:11" x14ac:dyDescent="0.3">
      <c r="A138" t="s">
        <v>9</v>
      </c>
      <c r="B138" t="s">
        <v>114</v>
      </c>
      <c r="C138" t="s">
        <v>238</v>
      </c>
      <c r="D138">
        <v>16</v>
      </c>
      <c r="E138" t="s">
        <v>244</v>
      </c>
      <c r="F138" t="s">
        <v>274</v>
      </c>
      <c r="G138" s="2"/>
      <c r="H138">
        <v>16</v>
      </c>
      <c r="I138" t="s">
        <v>278</v>
      </c>
      <c r="J138" t="b">
        <v>1</v>
      </c>
      <c r="K138" t="b">
        <v>0</v>
      </c>
    </row>
    <row r="139" spans="1:11" x14ac:dyDescent="0.3">
      <c r="A139" t="s">
        <v>9</v>
      </c>
      <c r="B139" t="s">
        <v>105</v>
      </c>
      <c r="C139" t="s">
        <v>324</v>
      </c>
      <c r="D139">
        <v>7.15</v>
      </c>
      <c r="E139" s="4">
        <v>240</v>
      </c>
      <c r="F139" t="s">
        <v>273</v>
      </c>
      <c r="G139" s="2">
        <f t="shared" si="2"/>
        <v>29.791666666666668</v>
      </c>
      <c r="I139" t="s">
        <v>283</v>
      </c>
      <c r="J139" t="b">
        <v>1</v>
      </c>
      <c r="K139" t="b">
        <v>0</v>
      </c>
    </row>
    <row r="140" spans="1:11" x14ac:dyDescent="0.3">
      <c r="A140" t="s">
        <v>9</v>
      </c>
      <c r="B140" t="s">
        <v>325</v>
      </c>
      <c r="C140" t="s">
        <v>326</v>
      </c>
      <c r="D140">
        <v>22.95</v>
      </c>
      <c r="E140" s="4">
        <v>250</v>
      </c>
      <c r="F140" t="s">
        <v>273</v>
      </c>
      <c r="G140" s="2">
        <f t="shared" si="2"/>
        <v>91.8</v>
      </c>
      <c r="I140" t="s">
        <v>296</v>
      </c>
      <c r="J140" t="b">
        <v>1</v>
      </c>
      <c r="K140" t="b">
        <v>0</v>
      </c>
    </row>
    <row r="141" spans="1:11" x14ac:dyDescent="0.3">
      <c r="A141" t="s">
        <v>9</v>
      </c>
      <c r="B141" t="s">
        <v>327</v>
      </c>
      <c r="C141" t="s">
        <v>328</v>
      </c>
      <c r="D141">
        <v>13.1</v>
      </c>
      <c r="E141" s="4">
        <v>110</v>
      </c>
      <c r="F141" t="s">
        <v>273</v>
      </c>
      <c r="G141" s="2">
        <f t="shared" si="2"/>
        <v>119.09090909090909</v>
      </c>
      <c r="I141" t="s">
        <v>315</v>
      </c>
      <c r="J141" t="b">
        <v>1</v>
      </c>
      <c r="K141" t="b">
        <v>0</v>
      </c>
    </row>
    <row r="142" spans="1:11" x14ac:dyDescent="0.3">
      <c r="A142" t="s">
        <v>9</v>
      </c>
      <c r="B142" t="s">
        <v>330</v>
      </c>
      <c r="C142" t="s">
        <v>331</v>
      </c>
      <c r="D142">
        <v>13.1</v>
      </c>
      <c r="E142" s="4">
        <v>60</v>
      </c>
      <c r="F142" t="s">
        <v>273</v>
      </c>
      <c r="G142" s="2">
        <f t="shared" si="2"/>
        <v>218.33333333333331</v>
      </c>
      <c r="I142" t="s">
        <v>306</v>
      </c>
      <c r="J142" t="b">
        <v>0</v>
      </c>
      <c r="K142" t="b">
        <v>0</v>
      </c>
    </row>
    <row r="143" spans="1:11" x14ac:dyDescent="0.3">
      <c r="A143" t="s">
        <v>9</v>
      </c>
      <c r="B143" t="s">
        <v>329</v>
      </c>
      <c r="C143" t="s">
        <v>332</v>
      </c>
      <c r="D143">
        <v>10.95</v>
      </c>
      <c r="E143" s="4">
        <v>100</v>
      </c>
      <c r="F143" t="s">
        <v>273</v>
      </c>
      <c r="G143" s="2">
        <f t="shared" si="2"/>
        <v>109.49999999999999</v>
      </c>
      <c r="I143" t="s">
        <v>288</v>
      </c>
      <c r="J143" t="b">
        <v>0</v>
      </c>
      <c r="K143" t="b">
        <v>0</v>
      </c>
    </row>
    <row r="144" spans="1:11" x14ac:dyDescent="0.3">
      <c r="A144" t="s">
        <v>9</v>
      </c>
      <c r="B144" t="s">
        <v>333</v>
      </c>
      <c r="C144" t="s">
        <v>334</v>
      </c>
      <c r="D144">
        <v>15.95</v>
      </c>
      <c r="E144" s="4">
        <v>144</v>
      </c>
      <c r="F144" t="s">
        <v>273</v>
      </c>
      <c r="G144" s="2">
        <f t="shared" si="2"/>
        <v>110.76388888888889</v>
      </c>
      <c r="I144" t="s">
        <v>311</v>
      </c>
      <c r="J144" t="b">
        <v>1</v>
      </c>
      <c r="K144" t="b">
        <v>0</v>
      </c>
    </row>
    <row r="145" spans="1:11" x14ac:dyDescent="0.3">
      <c r="A145" t="s">
        <v>9</v>
      </c>
      <c r="B145" t="s">
        <v>335</v>
      </c>
      <c r="C145" t="s">
        <v>336</v>
      </c>
      <c r="D145">
        <v>19.93</v>
      </c>
      <c r="E145" s="4">
        <v>400</v>
      </c>
      <c r="F145" t="s">
        <v>273</v>
      </c>
      <c r="G145" s="2">
        <f t="shared" si="2"/>
        <v>49.825000000000003</v>
      </c>
      <c r="I145" t="s">
        <v>283</v>
      </c>
      <c r="J145" t="b">
        <v>1</v>
      </c>
      <c r="K145" t="b">
        <v>0</v>
      </c>
    </row>
    <row r="146" spans="1:11" x14ac:dyDescent="0.3">
      <c r="A146" t="s">
        <v>9</v>
      </c>
      <c r="B146" t="s">
        <v>337</v>
      </c>
      <c r="C146" t="s">
        <v>338</v>
      </c>
      <c r="D146">
        <v>6.5</v>
      </c>
      <c r="E146" s="4">
        <v>300</v>
      </c>
      <c r="F146" t="s">
        <v>273</v>
      </c>
      <c r="G146" s="2">
        <f t="shared" si="2"/>
        <v>21.666666666666668</v>
      </c>
      <c r="I146" t="s">
        <v>310</v>
      </c>
      <c r="J146" t="b">
        <v>1</v>
      </c>
      <c r="K146" t="b">
        <v>0</v>
      </c>
    </row>
    <row r="147" spans="1:11" x14ac:dyDescent="0.3">
      <c r="A147" t="s">
        <v>9</v>
      </c>
      <c r="B147" t="s">
        <v>339</v>
      </c>
      <c r="C147" t="s">
        <v>339</v>
      </c>
      <c r="D147">
        <v>17</v>
      </c>
      <c r="E147" s="4">
        <v>2</v>
      </c>
      <c r="F147" t="s">
        <v>274</v>
      </c>
      <c r="G147" s="2"/>
      <c r="H147">
        <v>8.5</v>
      </c>
      <c r="I147" t="s">
        <v>277</v>
      </c>
      <c r="J147" t="b">
        <v>1</v>
      </c>
      <c r="K147" t="b">
        <v>0</v>
      </c>
    </row>
    <row r="148" spans="1:11" x14ac:dyDescent="0.3">
      <c r="A148" t="s">
        <v>9</v>
      </c>
      <c r="B148" t="s">
        <v>340</v>
      </c>
      <c r="C148" t="s">
        <v>341</v>
      </c>
      <c r="D148">
        <v>13.61</v>
      </c>
      <c r="E148" s="4">
        <v>480</v>
      </c>
      <c r="F148" t="s">
        <v>273</v>
      </c>
      <c r="G148">
        <v>28.35</v>
      </c>
      <c r="I148" t="s">
        <v>342</v>
      </c>
      <c r="J148" t="b">
        <v>1</v>
      </c>
      <c r="K148" t="b">
        <v>0</v>
      </c>
    </row>
    <row r="149" spans="1:11" x14ac:dyDescent="0.3">
      <c r="A149" t="s">
        <v>9</v>
      </c>
      <c r="B149" t="s">
        <v>344</v>
      </c>
      <c r="C149" t="s">
        <v>345</v>
      </c>
      <c r="D149">
        <v>18.68</v>
      </c>
      <c r="E149" s="4">
        <v>500</v>
      </c>
      <c r="F149" t="s">
        <v>276</v>
      </c>
      <c r="G149">
        <v>37.36</v>
      </c>
      <c r="I149" t="s">
        <v>298</v>
      </c>
      <c r="J149" t="b">
        <v>1</v>
      </c>
      <c r="K149" t="b">
        <v>0</v>
      </c>
    </row>
    <row r="150" spans="1:11" x14ac:dyDescent="0.3">
      <c r="A150" t="s">
        <v>9</v>
      </c>
      <c r="B150" t="s">
        <v>346</v>
      </c>
      <c r="C150" t="s">
        <v>347</v>
      </c>
      <c r="D150">
        <v>14.1</v>
      </c>
      <c r="E150" s="4">
        <v>500</v>
      </c>
      <c r="F150" t="s">
        <v>273</v>
      </c>
      <c r="G150">
        <v>19.899999999999999</v>
      </c>
      <c r="I150" t="s">
        <v>306</v>
      </c>
      <c r="J150" t="b">
        <v>1</v>
      </c>
      <c r="K150" t="b">
        <v>0</v>
      </c>
    </row>
    <row r="151" spans="1:11" x14ac:dyDescent="0.3">
      <c r="A151" t="s">
        <v>9</v>
      </c>
      <c r="B151" t="s">
        <v>348</v>
      </c>
      <c r="C151" t="s">
        <v>195</v>
      </c>
      <c r="D151">
        <v>19.95</v>
      </c>
      <c r="E151" t="s">
        <v>243</v>
      </c>
      <c r="F151" t="s">
        <v>273</v>
      </c>
      <c r="G151" s="2">
        <f t="shared" ref="G151" si="3">D151/E151*1000</f>
        <v>99.749999999999986</v>
      </c>
      <c r="I151" t="s">
        <v>306</v>
      </c>
      <c r="J151" t="b">
        <v>1</v>
      </c>
      <c r="K151" t="b">
        <v>0</v>
      </c>
    </row>
    <row r="152" spans="1:11" x14ac:dyDescent="0.3">
      <c r="A152" t="s">
        <v>9</v>
      </c>
      <c r="B152" t="s">
        <v>349</v>
      </c>
      <c r="C152" t="s">
        <v>350</v>
      </c>
      <c r="D152">
        <v>16.190000000000001</v>
      </c>
      <c r="E152" s="4">
        <v>750</v>
      </c>
      <c r="F152" t="s">
        <v>273</v>
      </c>
      <c r="G152">
        <v>21.59</v>
      </c>
      <c r="I152" t="s">
        <v>283</v>
      </c>
      <c r="J152" t="b">
        <v>1</v>
      </c>
      <c r="K152" t="b">
        <v>0</v>
      </c>
    </row>
    <row r="153" spans="1:11" x14ac:dyDescent="0.3">
      <c r="A153" t="s">
        <v>9</v>
      </c>
      <c r="B153" t="s">
        <v>351</v>
      </c>
      <c r="C153" t="s">
        <v>352</v>
      </c>
      <c r="D153">
        <v>14.12</v>
      </c>
      <c r="E153" s="4">
        <v>690</v>
      </c>
      <c r="F153" t="s">
        <v>273</v>
      </c>
      <c r="G153">
        <v>20.46</v>
      </c>
      <c r="I153" t="s">
        <v>342</v>
      </c>
      <c r="J153" t="b">
        <v>1</v>
      </c>
      <c r="K153" t="b">
        <v>0</v>
      </c>
    </row>
    <row r="154" spans="1:11" x14ac:dyDescent="0.3">
      <c r="A154" t="s">
        <v>9</v>
      </c>
      <c r="B154" t="s">
        <v>353</v>
      </c>
      <c r="C154" t="s">
        <v>354</v>
      </c>
      <c r="D154">
        <v>13.41</v>
      </c>
      <c r="E154" s="4">
        <v>360</v>
      </c>
      <c r="F154" t="s">
        <v>273</v>
      </c>
      <c r="G154">
        <v>37.25</v>
      </c>
      <c r="I154" t="s">
        <v>342</v>
      </c>
      <c r="J154" t="b">
        <v>1</v>
      </c>
      <c r="K154" t="b">
        <v>0</v>
      </c>
    </row>
    <row r="155" spans="1:11" x14ac:dyDescent="0.3">
      <c r="A155" t="s">
        <v>9</v>
      </c>
      <c r="B155" t="s">
        <v>355</v>
      </c>
      <c r="C155" t="s">
        <v>356</v>
      </c>
      <c r="D155">
        <v>13.47</v>
      </c>
      <c r="E155" s="4">
        <v>270</v>
      </c>
      <c r="F155" t="s">
        <v>273</v>
      </c>
      <c r="G155">
        <v>49.89</v>
      </c>
      <c r="I155" t="s">
        <v>283</v>
      </c>
      <c r="J155" t="b">
        <v>1</v>
      </c>
      <c r="K155" t="b">
        <v>0</v>
      </c>
    </row>
    <row r="156" spans="1:11" x14ac:dyDescent="0.3">
      <c r="A156" t="s">
        <v>9</v>
      </c>
      <c r="B156" t="s">
        <v>357</v>
      </c>
      <c r="C156" t="s">
        <v>358</v>
      </c>
      <c r="D156">
        <v>15.06</v>
      </c>
      <c r="E156" s="4">
        <v>225</v>
      </c>
      <c r="F156" t="s">
        <v>273</v>
      </c>
      <c r="G156">
        <v>66.930000000000007</v>
      </c>
      <c r="I156" t="s">
        <v>359</v>
      </c>
      <c r="J156" t="b">
        <v>1</v>
      </c>
      <c r="K156" t="b">
        <v>0</v>
      </c>
    </row>
    <row r="157" spans="1:11" x14ac:dyDescent="0.3">
      <c r="A157" t="s">
        <v>9</v>
      </c>
      <c r="B157" t="s">
        <v>360</v>
      </c>
      <c r="C157" t="s">
        <v>361</v>
      </c>
      <c r="D157">
        <v>38.99</v>
      </c>
      <c r="E157" s="4">
        <v>400</v>
      </c>
      <c r="F157" t="s">
        <v>273</v>
      </c>
      <c r="G157">
        <v>97.48</v>
      </c>
      <c r="I157" t="s">
        <v>288</v>
      </c>
      <c r="J157" t="b">
        <v>0</v>
      </c>
      <c r="K157" t="b">
        <v>0</v>
      </c>
    </row>
    <row r="158" spans="1:11" x14ac:dyDescent="0.3">
      <c r="A158" t="s">
        <v>9</v>
      </c>
      <c r="B158" t="s">
        <v>362</v>
      </c>
      <c r="C158" t="s">
        <v>363</v>
      </c>
      <c r="D158">
        <v>29.56</v>
      </c>
      <c r="E158" s="4">
        <v>400</v>
      </c>
      <c r="F158" t="s">
        <v>273</v>
      </c>
      <c r="G158">
        <v>62.5</v>
      </c>
      <c r="I158" t="s">
        <v>293</v>
      </c>
      <c r="J158" t="b">
        <v>0</v>
      </c>
      <c r="K15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Stegager</dc:creator>
  <cp:lastModifiedBy>Lukas Roland Stegeager</cp:lastModifiedBy>
  <dcterms:created xsi:type="dcterms:W3CDTF">2026-04-04T19:11:27Z</dcterms:created>
  <dcterms:modified xsi:type="dcterms:W3CDTF">2026-05-07T13:27:21Z</dcterms:modified>
</cp:coreProperties>
</file>
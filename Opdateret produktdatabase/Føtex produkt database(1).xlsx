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Opdateret produktdatabase\"/>
    </mc:Choice>
  </mc:AlternateContent>
  <xr:revisionPtr revIDLastSave="0" documentId="13_ncr:1_{661030AF-67D1-491B-9201-1E8C76FD3CF9}" xr6:coauthVersionLast="47" xr6:coauthVersionMax="47" xr10:uidLastSave="{00000000-0000-0000-0000-000000000000}"/>
  <bookViews>
    <workbookView xWindow="-108" yWindow="-108" windowWidth="23256" windowHeight="12456" xr2:uid="{D578A03E-A9C8-4BAB-B431-F41B41624B4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1" l="1"/>
  <c r="G126" i="1"/>
  <c r="G132" i="1"/>
  <c r="G131" i="1"/>
  <c r="G130" i="1"/>
  <c r="G129" i="1"/>
  <c r="G12" i="1"/>
  <c r="G128" i="1"/>
  <c r="G125" i="1"/>
  <c r="G124" i="1"/>
  <c r="G123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4" i="1"/>
  <c r="G31" i="1"/>
  <c r="G30" i="1"/>
  <c r="G28" i="1"/>
  <c r="G26" i="1"/>
  <c r="G24" i="1"/>
  <c r="G23" i="1"/>
  <c r="G22" i="1"/>
  <c r="G19" i="1"/>
  <c r="G18" i="1"/>
  <c r="G13" i="1"/>
  <c r="G11" i="1"/>
  <c r="G10" i="1"/>
  <c r="G9" i="1"/>
  <c r="G8" i="1"/>
  <c r="G5" i="1"/>
  <c r="G4" i="1"/>
  <c r="G3" i="1"/>
  <c r="G2" i="1"/>
</calcChain>
</file>

<file path=xl/sharedStrings.xml><?xml version="1.0" encoding="utf-8"?>
<sst xmlns="http://schemas.openxmlformats.org/spreadsheetml/2006/main" count="777" uniqueCount="308">
  <si>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</si>
  <si>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</si>
  <si>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</si>
  <si>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</si>
  <si>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</si>
  <si>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</si>
  <si>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</si>
  <si>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</si>
  <si>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</si>
  <si>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FØTEX</t>
  </si>
  <si>
    <t>GULERØDDER</t>
  </si>
  <si>
    <t>gulerødder</t>
  </si>
  <si>
    <t>salling</t>
  </si>
  <si>
    <t>TOMATER</t>
  </si>
  <si>
    <t xml:space="preserve">løse tomater </t>
  </si>
  <si>
    <t>løse tomater</t>
  </si>
  <si>
    <t>runde tomater øko</t>
  </si>
  <si>
    <t>salling øko</t>
  </si>
  <si>
    <t>CHERRYTOMATER</t>
  </si>
  <si>
    <t>cocktailtomater</t>
  </si>
  <si>
    <t>ICEBERGSALAT</t>
  </si>
  <si>
    <t>icebergsalat</t>
  </si>
  <si>
    <t>AGURK</t>
  </si>
  <si>
    <t>agurk</t>
  </si>
  <si>
    <t>RØDLØG</t>
  </si>
  <si>
    <t>rødløg</t>
  </si>
  <si>
    <t>LØG</t>
  </si>
  <si>
    <t>løg</t>
  </si>
  <si>
    <t>KARTOFLER</t>
  </si>
  <si>
    <t>kartofler øko</t>
  </si>
  <si>
    <t>kartofler</t>
  </si>
  <si>
    <t>SPINAT</t>
  </si>
  <si>
    <t>babyspinat øko</t>
  </si>
  <si>
    <t>se varen</t>
  </si>
  <si>
    <t>spinat</t>
  </si>
  <si>
    <t>PORRER</t>
  </si>
  <si>
    <t>porrer øko</t>
  </si>
  <si>
    <t>porrer i bundt</t>
  </si>
  <si>
    <t>PEBERFRUGT</t>
  </si>
  <si>
    <t>pebermix</t>
  </si>
  <si>
    <t xml:space="preserve">peberfrugter røde </t>
  </si>
  <si>
    <t>CHAMPIGNON</t>
  </si>
  <si>
    <t xml:space="preserve">hvide champignon </t>
  </si>
  <si>
    <t>brune champignon</t>
  </si>
  <si>
    <t>FORÅRSLØG</t>
  </si>
  <si>
    <t>forårsløg i bundt</t>
  </si>
  <si>
    <t xml:space="preserve">se varen </t>
  </si>
  <si>
    <t>CITRON</t>
  </si>
  <si>
    <t xml:space="preserve">citroner løse </t>
  </si>
  <si>
    <t>citroner øko</t>
  </si>
  <si>
    <t>ÆBLER</t>
  </si>
  <si>
    <t>æbler</t>
  </si>
  <si>
    <t xml:space="preserve">æbler løse </t>
  </si>
  <si>
    <t>BROCCOLI</t>
  </si>
  <si>
    <t>broccoli</t>
  </si>
  <si>
    <t>GRØNKÅL</t>
  </si>
  <si>
    <t>grønkål øko</t>
  </si>
  <si>
    <t>BLOMKÅL</t>
  </si>
  <si>
    <t>blomkål</t>
  </si>
  <si>
    <t>PASTINAK</t>
  </si>
  <si>
    <t>pastinakker øko</t>
  </si>
  <si>
    <t>AVOCADO</t>
  </si>
  <si>
    <t>avocadoer</t>
  </si>
  <si>
    <t>modne advocoer</t>
  </si>
  <si>
    <t>RØDBEDER</t>
  </si>
  <si>
    <t>rødbeder øko</t>
  </si>
  <si>
    <t>ÆRTER FROST</t>
  </si>
  <si>
    <t>fine ærter</t>
  </si>
  <si>
    <t xml:space="preserve">salling </t>
  </si>
  <si>
    <t>SELLERI</t>
  </si>
  <si>
    <t>knoldselleri</t>
  </si>
  <si>
    <t>LIME</t>
  </si>
  <si>
    <t>limefrugter</t>
  </si>
  <si>
    <t>HVIDLØG</t>
  </si>
  <si>
    <t xml:space="preserve">hvidløg </t>
  </si>
  <si>
    <t>AUBERGINE</t>
  </si>
  <si>
    <t>aubergine</t>
  </si>
  <si>
    <t>KYLLINGEFILET</t>
  </si>
  <si>
    <t>kyllingefilet tilsat 9% lage</t>
  </si>
  <si>
    <t>kyllingeinderfilet</t>
  </si>
  <si>
    <t>HEL KYLLING</t>
  </si>
  <si>
    <t>hel kylling</t>
  </si>
  <si>
    <t>KYLLINGELÅR</t>
  </si>
  <si>
    <t>kyllingeunderlår</t>
  </si>
  <si>
    <t xml:space="preserve">hele kyllingelår </t>
  </si>
  <si>
    <t>HAKKET KYLLINGEKØD</t>
  </si>
  <si>
    <t>hakket kyllingekød 3-7% fedt</t>
  </si>
  <si>
    <t>HAKKET OKSEKØD</t>
  </si>
  <si>
    <t>hakket oksekød 14-18% fedt</t>
  </si>
  <si>
    <t>slagteren</t>
  </si>
  <si>
    <t>BØFFER</t>
  </si>
  <si>
    <t>entrecote</t>
  </si>
  <si>
    <t>HAKKET GRIS &amp; KALV</t>
  </si>
  <si>
    <t>hakket okse- og grisekød 8-12% fedt</t>
  </si>
  <si>
    <t>OKSESTEG</t>
  </si>
  <si>
    <t>oksecuvette</t>
  </si>
  <si>
    <t>KEBAB</t>
  </si>
  <si>
    <t>oksekebab</t>
  </si>
  <si>
    <t>kyllingekebab</t>
  </si>
  <si>
    <t>GRISEMØRBRAD</t>
  </si>
  <si>
    <t>mørbrad af gris øko</t>
  </si>
  <si>
    <t>HAKKET GRISEKØD</t>
  </si>
  <si>
    <t>hakket grisekød 8-12%</t>
  </si>
  <si>
    <t>FLÆSK</t>
  </si>
  <si>
    <t>flæsk i skiver</t>
  </si>
  <si>
    <t xml:space="preserve">koteletter </t>
  </si>
  <si>
    <t>BACON TERN</t>
  </si>
  <si>
    <t>bacon i tern</t>
  </si>
  <si>
    <t>budget</t>
  </si>
  <si>
    <t>PØLSER</t>
  </si>
  <si>
    <t>grillpølser 70% kød</t>
  </si>
  <si>
    <t>pølseriet</t>
  </si>
  <si>
    <t>COCKTAILPØLSER</t>
  </si>
  <si>
    <t>cocktailpølser</t>
  </si>
  <si>
    <t>BACON SKIVER</t>
  </si>
  <si>
    <t>bacon i skiver</t>
  </si>
  <si>
    <t>MEDISTER</t>
  </si>
  <si>
    <t>medister</t>
  </si>
  <si>
    <t>FLÆSKESTEG</t>
  </si>
  <si>
    <t>flæskesteg</t>
  </si>
  <si>
    <t>antonius</t>
  </si>
  <si>
    <t>RIBBENSSTEG</t>
  </si>
  <si>
    <t>ribbenssteg</t>
  </si>
  <si>
    <t>HAMBURGERRYG</t>
  </si>
  <si>
    <t>hamburgerryg</t>
  </si>
  <si>
    <t>LAKSEFILET</t>
  </si>
  <si>
    <t>laksestykke</t>
  </si>
  <si>
    <t>laksefilet</t>
  </si>
  <si>
    <t>MØRKSEJ OG KULLERFILETER</t>
  </si>
  <si>
    <t>kullerfileter, frost</t>
  </si>
  <si>
    <t>TORSK</t>
  </si>
  <si>
    <t xml:space="preserve">torsk, frost </t>
  </si>
  <si>
    <t xml:space="preserve">FALSE </t>
  </si>
  <si>
    <t>FISKEFARS</t>
  </si>
  <si>
    <t xml:space="preserve">torskefars </t>
  </si>
  <si>
    <t>REJER</t>
  </si>
  <si>
    <t>rejer fra nordatlanten i lage</t>
  </si>
  <si>
    <t>royal artic</t>
  </si>
  <si>
    <t xml:space="preserve">rejer i lage </t>
  </si>
  <si>
    <t>ÆG</t>
  </si>
  <si>
    <t>skrabeæg M/L</t>
  </si>
  <si>
    <t>PARMESANOST</t>
  </si>
  <si>
    <t>parmigiano reggiano 32+</t>
  </si>
  <si>
    <t>zanetti</t>
  </si>
  <si>
    <t xml:space="preserve">parmigiano reggiano </t>
  </si>
  <si>
    <t>FETA OST</t>
  </si>
  <si>
    <t>salatost i blok 17% fedt</t>
  </si>
  <si>
    <t>puck</t>
  </si>
  <si>
    <t>SALATOST</t>
  </si>
  <si>
    <t>salatost 17% fedt</t>
  </si>
  <si>
    <t>OST</t>
  </si>
  <si>
    <t>danbo skæreost mellemlagret 45+</t>
  </si>
  <si>
    <t>salling group</t>
  </si>
  <si>
    <t>HYTTEOST</t>
  </si>
  <si>
    <t>hytteost neutral 1,5% fedt</t>
  </si>
  <si>
    <t>hytteost naturel laktosefri 1,5% fedt</t>
  </si>
  <si>
    <t>mammen</t>
  </si>
  <si>
    <t>SMØREOST</t>
  </si>
  <si>
    <t>flødeost neutral 16% fedt laktosefri</t>
  </si>
  <si>
    <t>arla lactofree</t>
  </si>
  <si>
    <t>SMØR</t>
  </si>
  <si>
    <t>saltet smør</t>
  </si>
  <si>
    <t>egelykke</t>
  </si>
  <si>
    <t>SMØRBAR</t>
  </si>
  <si>
    <t>smørbar</t>
  </si>
  <si>
    <t>MADLAVNINGSFLØDE</t>
  </si>
  <si>
    <t>madlavningsfløde 15% fedt</t>
  </si>
  <si>
    <t>arla karolines køkken</t>
  </si>
  <si>
    <t>madlavningsfløde 13% fedt laktosefri</t>
  </si>
  <si>
    <t>FLØDEALTERNATIV</t>
  </si>
  <si>
    <t>ama madlavning 4% fedt</t>
  </si>
  <si>
    <t>ama</t>
  </si>
  <si>
    <t>GRÆSK YOGHURT</t>
  </si>
  <si>
    <t xml:space="preserve">græsk yoghurt 10% fedt </t>
  </si>
  <si>
    <t>athena</t>
  </si>
  <si>
    <t>græsk yoghurt 10% fedt laktosefri</t>
  </si>
  <si>
    <t>SØDMÆLK</t>
  </si>
  <si>
    <t>sødmælk 3,5% fedt</t>
  </si>
  <si>
    <t>arla 24</t>
  </si>
  <si>
    <t>MOZZARELLA</t>
  </si>
  <si>
    <t>mozzarella 19% fedt</t>
  </si>
  <si>
    <t>fellino</t>
  </si>
  <si>
    <t>revet mozzarella ost 25% fedt</t>
  </si>
  <si>
    <t>CHEDDAR</t>
  </si>
  <si>
    <t>revet cheddar 32% fedt</t>
  </si>
  <si>
    <t>cheddar mild 35% fedt</t>
  </si>
  <si>
    <t xml:space="preserve">TRUE </t>
  </si>
  <si>
    <t>PISKEFLØDE</t>
  </si>
  <si>
    <t>piskefløde 36% fedt</t>
  </si>
  <si>
    <t>LETMÆLK</t>
  </si>
  <si>
    <t>letmælk 1,5% fedt</t>
  </si>
  <si>
    <t>MINIMÆLK</t>
  </si>
  <si>
    <t>minimælk 0,4% fedt</t>
  </si>
  <si>
    <t>CREME FRAICHE</t>
  </si>
  <si>
    <t>creme fraiche 18% fedt</t>
  </si>
  <si>
    <t>TÆRTEDEJ</t>
  </si>
  <si>
    <t xml:space="preserve">fuldkornstærtedej </t>
  </si>
  <si>
    <t>PIZZADEJ</t>
  </si>
  <si>
    <t>pizzadej</t>
  </si>
  <si>
    <t>BURGERBOLLER</t>
  </si>
  <si>
    <t>burgerboller</t>
  </si>
  <si>
    <t>PITABRØD</t>
  </si>
  <si>
    <t>pitabrød</t>
  </si>
  <si>
    <t>TORTILLAS</t>
  </si>
  <si>
    <t>majstortillas</t>
  </si>
  <si>
    <t>RUGBRØD</t>
  </si>
  <si>
    <t>mørkt rugbrød</t>
  </si>
  <si>
    <t>BULGUR</t>
  </si>
  <si>
    <t>grov bulgur</t>
  </si>
  <si>
    <t>JASMIN RIS</t>
  </si>
  <si>
    <t xml:space="preserve">jasminris </t>
  </si>
  <si>
    <t>BASMATI RIS</t>
  </si>
  <si>
    <t>basmatiris</t>
  </si>
  <si>
    <t>RISPAPIR</t>
  </si>
  <si>
    <t xml:space="preserve">rispapir </t>
  </si>
  <si>
    <t>HS</t>
  </si>
  <si>
    <t>NUDLER</t>
  </si>
  <si>
    <t>ramennudler</t>
  </si>
  <si>
    <t>go-tan</t>
  </si>
  <si>
    <t>RISNUDLER</t>
  </si>
  <si>
    <t>risnudler</t>
  </si>
  <si>
    <t>SPAGHETTI</t>
  </si>
  <si>
    <t>spaghetti</t>
  </si>
  <si>
    <t>PASTA</t>
  </si>
  <si>
    <t>fusilli</t>
  </si>
  <si>
    <t>HAKKEDE TOMATER</t>
  </si>
  <si>
    <t>hakkede tomater</t>
  </si>
  <si>
    <t>KOKOSMÆLK</t>
  </si>
  <si>
    <t>kokosmælk</t>
  </si>
  <si>
    <t>asian kitchen</t>
  </si>
  <si>
    <t>TOMATPURE</t>
  </si>
  <si>
    <t>tomatpure</t>
  </si>
  <si>
    <t>DÅSEMAJS</t>
  </si>
  <si>
    <t>HAVREGRYN</t>
  </si>
  <si>
    <t>finvalsede havregryn</t>
  </si>
  <si>
    <t>GRØN PESTO</t>
  </si>
  <si>
    <t>basilikumspesto</t>
  </si>
  <si>
    <t>RØD PESTO</t>
  </si>
  <si>
    <t>tomatpesto</t>
  </si>
  <si>
    <t>HALLOUMI</t>
  </si>
  <si>
    <t xml:space="preserve">grillost </t>
  </si>
  <si>
    <t>KIKÆRTER</t>
  </si>
  <si>
    <t>kikærter</t>
  </si>
  <si>
    <t>SORTE BØNNER</t>
  </si>
  <si>
    <t>sorte bønner</t>
  </si>
  <si>
    <t>KIDNEYBØNNER</t>
  </si>
  <si>
    <t>røde kidneybønner</t>
  </si>
  <si>
    <t>TOFU</t>
  </si>
  <si>
    <t>tofu</t>
  </si>
  <si>
    <t>lunter</t>
  </si>
  <si>
    <t>FALAFEL</t>
  </si>
  <si>
    <t>falafler</t>
  </si>
  <si>
    <t>naturli</t>
  </si>
  <si>
    <t>SPLITLINSER</t>
  </si>
  <si>
    <t>røde splitlinser</t>
  </si>
  <si>
    <t>GRØNNE LINSER</t>
  </si>
  <si>
    <t>grønne linser</t>
  </si>
  <si>
    <t>SQUASH</t>
  </si>
  <si>
    <t>squash øko</t>
  </si>
  <si>
    <t>rucola øko</t>
  </si>
  <si>
    <t>g</t>
  </si>
  <si>
    <t>stk</t>
  </si>
  <si>
    <t>ml</t>
  </si>
  <si>
    <t>Enhed (g/ml/stk)</t>
  </si>
  <si>
    <t>Kilopris/Literpris</t>
  </si>
  <si>
    <t>RUCOLA</t>
  </si>
  <si>
    <t>røde kidneybønner i chilisauce</t>
  </si>
  <si>
    <t>MASCARPONE</t>
  </si>
  <si>
    <t>mascarpone 42% fedt</t>
  </si>
  <si>
    <t>RØD KARRYPASTA</t>
  </si>
  <si>
    <t>rød karrypasta</t>
  </si>
  <si>
    <t>PEPPERONI</t>
  </si>
  <si>
    <t>PARMA/SERRANOSKINE</t>
  </si>
  <si>
    <t>serranoskinke</t>
  </si>
  <si>
    <t>pepperoni i skiver</t>
  </si>
  <si>
    <t>majs</t>
  </si>
  <si>
    <t>TACOSKALLER</t>
  </si>
  <si>
    <t>tacoskaller</t>
  </si>
  <si>
    <t>mex &amp; co.</t>
  </si>
  <si>
    <t>EDAMAME BØNNER</t>
  </si>
  <si>
    <t>mukimamebønner</t>
  </si>
  <si>
    <t>FLUTE</t>
  </si>
  <si>
    <t>baguettes</t>
  </si>
  <si>
    <t>POK CHOI</t>
  </si>
  <si>
    <t>SYLTEDE RØDBEDER</t>
  </si>
  <si>
    <t>syltede rødbeder</t>
  </si>
  <si>
    <t>samsø syltefabrik</t>
  </si>
  <si>
    <t>KOTELETTER</t>
  </si>
  <si>
    <t>MORNAYSAUCE</t>
  </si>
  <si>
    <t xml:space="preserve">mornaysauce </t>
  </si>
  <si>
    <t>LASAGNEPLADER</t>
  </si>
  <si>
    <t>lasagneplader forkogt</t>
  </si>
  <si>
    <t xml:space="preserve">REVET OST </t>
  </si>
  <si>
    <t>FROSNE BØNNER</t>
  </si>
  <si>
    <t>grønne bønner</t>
  </si>
  <si>
    <t>syltet rødkål</t>
  </si>
  <si>
    <t>SYLTET RØDKÅL</t>
  </si>
  <si>
    <t>SYLTEDE AGURKER</t>
  </si>
  <si>
    <t>syltede drueagurker</t>
  </si>
  <si>
    <t>HVIDE ASPARGES</t>
  </si>
  <si>
    <t>hvide aspargessnitter m. hoved</t>
  </si>
  <si>
    <t>TARTELETTER</t>
  </si>
  <si>
    <t>tarteletter</t>
  </si>
  <si>
    <t>PULLED PORK/CHICKEN</t>
  </si>
  <si>
    <t xml:space="preserve">pulled pork </t>
  </si>
  <si>
    <t>tulip</t>
  </si>
  <si>
    <t>FISKEFILET</t>
  </si>
  <si>
    <t>panerede fisk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</si>
</sst>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2" fontId="3" fillId="0" borderId="0" xfId="0" applyNumberFormat="1" applyFont="1"/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8FE9-1C4E-45F0-8EDC-E467B069102A}">
  <dimension ref="A1:K148"/>
  <sheetViews>
    <sheetView tabSelected="1" topLeftCell="A131" zoomScale="94" workbookViewId="0">
      <selection activeCell="L148" sqref="L148"/>
    </sheetView>
  </sheetViews>
  <sheetFormatPr defaultColWidth="8.77734375" defaultRowHeight="14.4" x14ac:dyDescent="0.3"/>
  <cols>
    <col min="2" max="2" width="21.44140625" customWidth="1"/>
    <col min="3" max="3" width="33" customWidth="1"/>
    <col min="4" max="4" width="18" customWidth="1"/>
    <col min="5" max="5" width="11" customWidth="1"/>
    <col min="6" max="6" width="23.109375" customWidth="1"/>
    <col min="7" max="7" width="16.77734375" bestFit="1" customWidth="1"/>
    <col min="8" max="8" width="16.77734375" customWidth="1"/>
    <col min="9" max="9" width="16.44140625" customWidth="1"/>
    <col min="10" max="10" width="19" customWidth="1"/>
  </cols>
  <sheetData>
    <row r="1" spans="1:11" x14ac:dyDescent="0.3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263</v>
      </c>
      <c r="G1" s="8" t="s">
        <v>264</v>
      </c>
      <c r="H1" s="8" t="s">
        <v>5</v>
      </c>
      <c r="I1" s="8" t="s">
        <v>6</v>
      </c>
      <c r="J1" s="8" t="s">
        <v>7</v>
      </c>
      <c r="K1" s="8" t="s">
        <v>8</v>
      </c>
    </row>
    <row r="2" spans="1:11" x14ac:dyDescent="0.3">
      <c r="A2" s="3" t="s">
        <v>9</v>
      </c>
      <c r="B2" s="2" t="s">
        <v>10</v>
      </c>
      <c r="C2" s="3" t="s">
        <v>11</v>
      </c>
      <c r="D2" s="3">
        <v>11</v>
      </c>
      <c r="E2" s="3">
        <v>1000</v>
      </c>
      <c r="F2" s="3" t="s">
        <v>260</v>
      </c>
      <c r="G2" s="7">
        <f>D2/E2*1000</f>
        <v>11</v>
      </c>
      <c r="I2" s="3" t="s">
        <v>12</v>
      </c>
      <c r="J2" s="3" t="b">
        <v>1</v>
      </c>
      <c r="K2" s="4" t="b">
        <v>0</v>
      </c>
    </row>
    <row r="3" spans="1:11" x14ac:dyDescent="0.3">
      <c r="A3" s="3" t="s">
        <v>9</v>
      </c>
      <c r="B3" s="2" t="s">
        <v>13</v>
      </c>
      <c r="C3" s="3" t="s">
        <v>14</v>
      </c>
      <c r="D3" s="3">
        <v>3.5</v>
      </c>
      <c r="E3" s="3">
        <v>120</v>
      </c>
      <c r="F3" s="3" t="s">
        <v>260</v>
      </c>
      <c r="G3" s="7">
        <f>D3/E3*1000</f>
        <v>29.166666666666668</v>
      </c>
      <c r="H3" s="3">
        <v>3.5</v>
      </c>
      <c r="I3" s="3" t="s">
        <v>15</v>
      </c>
      <c r="J3" s="3" t="b">
        <v>1</v>
      </c>
      <c r="K3" s="4" t="b">
        <v>0</v>
      </c>
    </row>
    <row r="4" spans="1:11" x14ac:dyDescent="0.3">
      <c r="A4" s="3" t="s">
        <v>9</v>
      </c>
      <c r="B4" s="2" t="s">
        <v>13</v>
      </c>
      <c r="C4" s="3" t="s">
        <v>16</v>
      </c>
      <c r="D4" s="3">
        <v>19</v>
      </c>
      <c r="E4" s="3">
        <v>400</v>
      </c>
      <c r="F4" s="3" t="s">
        <v>260</v>
      </c>
      <c r="G4" s="7">
        <f>D4/E4*1000</f>
        <v>47.5</v>
      </c>
      <c r="I4" s="3" t="s">
        <v>17</v>
      </c>
      <c r="J4" s="3" t="b">
        <v>1</v>
      </c>
      <c r="K4" s="4" t="b">
        <v>0</v>
      </c>
    </row>
    <row r="5" spans="1:11" x14ac:dyDescent="0.3">
      <c r="A5" s="3" t="s">
        <v>9</v>
      </c>
      <c r="B5" s="2" t="s">
        <v>18</v>
      </c>
      <c r="C5" s="3" t="s">
        <v>19</v>
      </c>
      <c r="D5" s="3">
        <v>24</v>
      </c>
      <c r="E5" s="3">
        <v>500</v>
      </c>
      <c r="F5" s="3" t="s">
        <v>260</v>
      </c>
      <c r="G5" s="7">
        <f>D5/E5*1000</f>
        <v>48</v>
      </c>
      <c r="I5" s="3" t="s">
        <v>12</v>
      </c>
      <c r="J5" s="3" t="b">
        <v>1</v>
      </c>
      <c r="K5" s="4" t="b">
        <v>0</v>
      </c>
    </row>
    <row r="6" spans="1:11" x14ac:dyDescent="0.3">
      <c r="A6" s="3" t="s">
        <v>9</v>
      </c>
      <c r="B6" s="2" t="s">
        <v>20</v>
      </c>
      <c r="C6" s="3" t="s">
        <v>21</v>
      </c>
      <c r="D6" s="3">
        <v>12</v>
      </c>
      <c r="E6" s="3">
        <v>1</v>
      </c>
      <c r="F6" s="3" t="s">
        <v>261</v>
      </c>
      <c r="G6" s="7"/>
      <c r="H6" s="3">
        <v>12</v>
      </c>
      <c r="I6" s="3" t="s">
        <v>12</v>
      </c>
      <c r="J6" s="3" t="b">
        <v>1</v>
      </c>
      <c r="K6" s="4" t="b">
        <v>0</v>
      </c>
    </row>
    <row r="7" spans="1:11" x14ac:dyDescent="0.3">
      <c r="A7" s="3" t="s">
        <v>9</v>
      </c>
      <c r="B7" s="2" t="s">
        <v>22</v>
      </c>
      <c r="C7" s="3" t="s">
        <v>23</v>
      </c>
      <c r="D7" s="3">
        <v>10</v>
      </c>
      <c r="E7" s="3">
        <v>1</v>
      </c>
      <c r="F7" s="3" t="s">
        <v>261</v>
      </c>
      <c r="G7" s="7"/>
      <c r="H7" s="3">
        <v>10</v>
      </c>
      <c r="I7" s="3" t="s">
        <v>12</v>
      </c>
      <c r="J7" s="3" t="b">
        <v>1</v>
      </c>
      <c r="K7" s="4" t="b">
        <v>0</v>
      </c>
    </row>
    <row r="8" spans="1:11" x14ac:dyDescent="0.3">
      <c r="A8" s="3" t="s">
        <v>9</v>
      </c>
      <c r="B8" s="2" t="s">
        <v>24</v>
      </c>
      <c r="C8" s="3" t="s">
        <v>25</v>
      </c>
      <c r="D8" s="3">
        <v>8</v>
      </c>
      <c r="E8" s="3">
        <v>500</v>
      </c>
      <c r="F8" s="3" t="s">
        <v>260</v>
      </c>
      <c r="G8" s="7">
        <f t="shared" ref="G8:G13" si="0">D8/E8*1000</f>
        <v>16</v>
      </c>
      <c r="I8" s="3" t="s">
        <v>12</v>
      </c>
      <c r="J8" s="3" t="b">
        <v>1</v>
      </c>
      <c r="K8" s="4" t="b">
        <v>0</v>
      </c>
    </row>
    <row r="9" spans="1:11" x14ac:dyDescent="0.3">
      <c r="A9" s="3" t="s">
        <v>9</v>
      </c>
      <c r="B9" s="2" t="s">
        <v>26</v>
      </c>
      <c r="C9" s="3" t="s">
        <v>27</v>
      </c>
      <c r="D9" s="3">
        <v>12</v>
      </c>
      <c r="E9" s="3">
        <v>1000</v>
      </c>
      <c r="F9" s="3" t="s">
        <v>260</v>
      </c>
      <c r="G9" s="7">
        <f t="shared" si="0"/>
        <v>12</v>
      </c>
      <c r="I9" s="3" t="s">
        <v>12</v>
      </c>
      <c r="J9" s="3" t="b">
        <v>1</v>
      </c>
      <c r="K9" s="4" t="b">
        <v>0</v>
      </c>
    </row>
    <row r="10" spans="1:11" x14ac:dyDescent="0.3">
      <c r="A10" s="3" t="s">
        <v>9</v>
      </c>
      <c r="B10" s="2" t="s">
        <v>28</v>
      </c>
      <c r="C10" s="3" t="s">
        <v>29</v>
      </c>
      <c r="D10" s="3">
        <v>14</v>
      </c>
      <c r="E10" s="3">
        <v>1000</v>
      </c>
      <c r="F10" s="3" t="s">
        <v>260</v>
      </c>
      <c r="G10" s="7">
        <f t="shared" si="0"/>
        <v>14</v>
      </c>
      <c r="I10" s="3" t="s">
        <v>12</v>
      </c>
      <c r="J10" s="3" t="b">
        <v>1</v>
      </c>
      <c r="K10" s="4" t="b">
        <v>0</v>
      </c>
    </row>
    <row r="11" spans="1:11" x14ac:dyDescent="0.3">
      <c r="A11" s="3" t="s">
        <v>9</v>
      </c>
      <c r="B11" s="2" t="s">
        <v>28</v>
      </c>
      <c r="C11" s="3" t="s">
        <v>30</v>
      </c>
      <c r="D11" s="3">
        <v>20</v>
      </c>
      <c r="E11" s="3">
        <v>2000</v>
      </c>
      <c r="F11" s="3" t="s">
        <v>260</v>
      </c>
      <c r="G11" s="7">
        <f t="shared" si="0"/>
        <v>10</v>
      </c>
      <c r="I11" s="3" t="s">
        <v>12</v>
      </c>
      <c r="J11" s="3" t="b">
        <v>1</v>
      </c>
      <c r="K11" s="4" t="b">
        <v>0</v>
      </c>
    </row>
    <row r="12" spans="1:11" x14ac:dyDescent="0.3">
      <c r="A12" s="3" t="s">
        <v>9</v>
      </c>
      <c r="B12" s="2" t="s">
        <v>31</v>
      </c>
      <c r="C12" s="3" t="s">
        <v>32</v>
      </c>
      <c r="D12" s="3">
        <v>11</v>
      </c>
      <c r="E12" s="3">
        <v>75</v>
      </c>
      <c r="F12" s="3" t="s">
        <v>260</v>
      </c>
      <c r="G12" s="7">
        <f t="shared" si="0"/>
        <v>146.66666666666666</v>
      </c>
      <c r="I12" s="3" t="s">
        <v>33</v>
      </c>
      <c r="J12" s="3" t="b">
        <v>1</v>
      </c>
      <c r="K12" s="4" t="b">
        <v>0</v>
      </c>
    </row>
    <row r="13" spans="1:11" x14ac:dyDescent="0.3">
      <c r="A13" s="3" t="s">
        <v>9</v>
      </c>
      <c r="B13" s="2" t="s">
        <v>31</v>
      </c>
      <c r="C13" s="3" t="s">
        <v>34</v>
      </c>
      <c r="D13" s="3">
        <v>22</v>
      </c>
      <c r="E13" s="3">
        <v>250</v>
      </c>
      <c r="F13" s="3" t="s">
        <v>260</v>
      </c>
      <c r="G13" s="7">
        <f t="shared" si="0"/>
        <v>88</v>
      </c>
      <c r="I13" s="3" t="s">
        <v>12</v>
      </c>
      <c r="J13" s="3" t="b">
        <v>1</v>
      </c>
      <c r="K13" s="4" t="b">
        <v>0</v>
      </c>
    </row>
    <row r="14" spans="1:11" x14ac:dyDescent="0.3">
      <c r="A14" s="3" t="s">
        <v>9</v>
      </c>
      <c r="B14" s="2" t="s">
        <v>35</v>
      </c>
      <c r="C14" s="3" t="s">
        <v>36</v>
      </c>
      <c r="D14" s="3">
        <v>9</v>
      </c>
      <c r="E14" s="3">
        <v>1</v>
      </c>
      <c r="F14" s="3" t="s">
        <v>261</v>
      </c>
      <c r="G14" s="7"/>
      <c r="H14" s="3">
        <v>9</v>
      </c>
      <c r="I14" s="3" t="s">
        <v>17</v>
      </c>
      <c r="J14" s="3" t="b">
        <v>1</v>
      </c>
      <c r="K14" s="5" t="b">
        <v>0</v>
      </c>
    </row>
    <row r="15" spans="1:11" x14ac:dyDescent="0.3">
      <c r="A15" s="3" t="s">
        <v>9</v>
      </c>
      <c r="B15" s="2" t="s">
        <v>35</v>
      </c>
      <c r="C15" s="3" t="s">
        <v>37</v>
      </c>
      <c r="D15" s="3">
        <v>14</v>
      </c>
      <c r="E15" s="3">
        <v>2</v>
      </c>
      <c r="F15" s="3" t="s">
        <v>261</v>
      </c>
      <c r="G15" s="7"/>
      <c r="H15" s="3">
        <v>7</v>
      </c>
      <c r="I15" s="3" t="s">
        <v>12</v>
      </c>
      <c r="J15" s="3" t="b">
        <v>1</v>
      </c>
      <c r="K15" s="5" t="b">
        <v>0</v>
      </c>
    </row>
    <row r="16" spans="1:11" x14ac:dyDescent="0.3">
      <c r="A16" s="3" t="s">
        <v>9</v>
      </c>
      <c r="B16" s="2" t="s">
        <v>38</v>
      </c>
      <c r="C16" s="3" t="s">
        <v>39</v>
      </c>
      <c r="D16" s="3">
        <v>20</v>
      </c>
      <c r="E16" s="3">
        <v>3</v>
      </c>
      <c r="F16" s="3" t="s">
        <v>261</v>
      </c>
      <c r="G16" s="7"/>
      <c r="H16" s="3">
        <v>6.67</v>
      </c>
      <c r="I16" s="3" t="s">
        <v>12</v>
      </c>
      <c r="J16" s="3" t="b">
        <v>1</v>
      </c>
      <c r="K16" s="5" t="b">
        <v>0</v>
      </c>
    </row>
    <row r="17" spans="1:11" x14ac:dyDescent="0.3">
      <c r="A17" s="3" t="s">
        <v>9</v>
      </c>
      <c r="B17" s="2" t="s">
        <v>38</v>
      </c>
      <c r="C17" s="3" t="s">
        <v>40</v>
      </c>
      <c r="D17" s="3">
        <v>9</v>
      </c>
      <c r="E17" s="3">
        <v>1</v>
      </c>
      <c r="F17" s="3" t="s">
        <v>261</v>
      </c>
      <c r="G17" s="7"/>
      <c r="H17" s="3">
        <v>9</v>
      </c>
      <c r="I17" s="3" t="s">
        <v>12</v>
      </c>
      <c r="J17" s="3" t="b">
        <v>1</v>
      </c>
      <c r="K17" s="5" t="b">
        <v>0</v>
      </c>
    </row>
    <row r="18" spans="1:11" x14ac:dyDescent="0.3">
      <c r="A18" s="3" t="s">
        <v>9</v>
      </c>
      <c r="B18" s="2" t="s">
        <v>41</v>
      </c>
      <c r="C18" s="3" t="s">
        <v>42</v>
      </c>
      <c r="D18" s="3">
        <v>20</v>
      </c>
      <c r="E18" s="3">
        <v>400</v>
      </c>
      <c r="F18" s="3" t="s">
        <v>260</v>
      </c>
      <c r="G18" s="7">
        <f>D18/E18*1000</f>
        <v>50</v>
      </c>
      <c r="I18" s="3" t="s">
        <v>12</v>
      </c>
      <c r="J18" s="3" t="b">
        <v>1</v>
      </c>
      <c r="K18" s="5" t="b">
        <v>0</v>
      </c>
    </row>
    <row r="19" spans="1:11" x14ac:dyDescent="0.3">
      <c r="A19" s="3" t="s">
        <v>9</v>
      </c>
      <c r="B19" s="2" t="s">
        <v>41</v>
      </c>
      <c r="C19" s="3" t="s">
        <v>43</v>
      </c>
      <c r="D19" s="3">
        <v>17</v>
      </c>
      <c r="E19" s="3">
        <v>250</v>
      </c>
      <c r="F19" s="3" t="s">
        <v>260</v>
      </c>
      <c r="G19" s="7">
        <f>D19/E19*1000</f>
        <v>68</v>
      </c>
      <c r="I19" s="3" t="s">
        <v>12</v>
      </c>
      <c r="J19" s="3" t="b">
        <v>1</v>
      </c>
      <c r="K19" s="5" t="b">
        <v>0</v>
      </c>
    </row>
    <row r="20" spans="1:11" x14ac:dyDescent="0.3">
      <c r="A20" s="3" t="s">
        <v>9</v>
      </c>
      <c r="B20" s="2" t="s">
        <v>44</v>
      </c>
      <c r="C20" s="3" t="s">
        <v>45</v>
      </c>
      <c r="D20" s="3">
        <v>9</v>
      </c>
      <c r="E20" s="3">
        <v>1</v>
      </c>
      <c r="F20" s="3" t="s">
        <v>261</v>
      </c>
      <c r="G20" s="7"/>
      <c r="H20" s="3">
        <v>9</v>
      </c>
      <c r="I20" s="3" t="s">
        <v>46</v>
      </c>
      <c r="J20" s="3" t="b">
        <v>1</v>
      </c>
      <c r="K20" s="5" t="b">
        <v>0</v>
      </c>
    </row>
    <row r="21" spans="1:11" x14ac:dyDescent="0.3">
      <c r="A21" s="3" t="s">
        <v>9</v>
      </c>
      <c r="B21" s="2" t="s">
        <v>47</v>
      </c>
      <c r="C21" s="3" t="s">
        <v>48</v>
      </c>
      <c r="D21" s="3">
        <v>5.5</v>
      </c>
      <c r="E21" s="3">
        <v>1</v>
      </c>
      <c r="F21" s="3" t="s">
        <v>261</v>
      </c>
      <c r="G21" s="7"/>
      <c r="H21" s="3">
        <v>5.5</v>
      </c>
      <c r="I21" s="3" t="s">
        <v>33</v>
      </c>
      <c r="J21" s="3" t="b">
        <v>1</v>
      </c>
      <c r="K21" s="5" t="b">
        <v>0</v>
      </c>
    </row>
    <row r="22" spans="1:11" x14ac:dyDescent="0.3">
      <c r="A22" s="3" t="s">
        <v>9</v>
      </c>
      <c r="B22" s="2" t="s">
        <v>47</v>
      </c>
      <c r="C22" s="3" t="s">
        <v>49</v>
      </c>
      <c r="D22" s="3">
        <v>17.25</v>
      </c>
      <c r="E22" s="3">
        <v>500</v>
      </c>
      <c r="F22" s="3" t="s">
        <v>260</v>
      </c>
      <c r="G22" s="7">
        <f>D22/E22*1000</f>
        <v>34.5</v>
      </c>
      <c r="I22" s="3" t="s">
        <v>17</v>
      </c>
      <c r="J22" s="3" t="b">
        <v>1</v>
      </c>
      <c r="K22" s="5" t="b">
        <v>0</v>
      </c>
    </row>
    <row r="23" spans="1:11" x14ac:dyDescent="0.3">
      <c r="A23" s="3" t="s">
        <v>9</v>
      </c>
      <c r="B23" s="2" t="s">
        <v>50</v>
      </c>
      <c r="C23" s="3" t="s">
        <v>51</v>
      </c>
      <c r="D23" s="3">
        <v>12</v>
      </c>
      <c r="E23" s="3">
        <v>1000</v>
      </c>
      <c r="F23" s="3" t="s">
        <v>260</v>
      </c>
      <c r="G23" s="7">
        <f>D23/E23*1000</f>
        <v>12</v>
      </c>
      <c r="I23" s="3" t="s">
        <v>33</v>
      </c>
      <c r="J23" s="3" t="b">
        <v>1</v>
      </c>
      <c r="K23" s="5" t="b">
        <v>0</v>
      </c>
    </row>
    <row r="24" spans="1:11" x14ac:dyDescent="0.3">
      <c r="A24" s="3" t="s">
        <v>9</v>
      </c>
      <c r="B24" s="2" t="s">
        <v>50</v>
      </c>
      <c r="C24" s="3" t="s">
        <v>52</v>
      </c>
      <c r="D24" s="3">
        <v>2.5</v>
      </c>
      <c r="E24" s="3">
        <v>115</v>
      </c>
      <c r="F24" s="3" t="s">
        <v>260</v>
      </c>
      <c r="G24" s="7">
        <f>D24/E24*1000</f>
        <v>21.739130434782609</v>
      </c>
      <c r="H24" s="3">
        <v>2.5</v>
      </c>
      <c r="I24" s="3" t="s">
        <v>33</v>
      </c>
      <c r="J24" s="3" t="b">
        <v>1</v>
      </c>
      <c r="K24" s="5" t="b">
        <v>0</v>
      </c>
    </row>
    <row r="25" spans="1:11" x14ac:dyDescent="0.3">
      <c r="A25" s="3" t="s">
        <v>9</v>
      </c>
      <c r="B25" s="2" t="s">
        <v>53</v>
      </c>
      <c r="C25" s="3" t="s">
        <v>54</v>
      </c>
      <c r="D25" s="3">
        <v>15</v>
      </c>
      <c r="E25" s="3">
        <v>1</v>
      </c>
      <c r="F25" s="3" t="s">
        <v>261</v>
      </c>
      <c r="G25" s="7"/>
      <c r="H25" s="3">
        <v>15</v>
      </c>
      <c r="I25" s="3" t="s">
        <v>12</v>
      </c>
      <c r="J25" s="3" t="b">
        <v>1</v>
      </c>
      <c r="K25" s="5" t="b">
        <v>0</v>
      </c>
    </row>
    <row r="26" spans="1:11" x14ac:dyDescent="0.3">
      <c r="A26" s="3" t="s">
        <v>9</v>
      </c>
      <c r="B26" s="2" t="s">
        <v>55</v>
      </c>
      <c r="C26" s="3" t="s">
        <v>56</v>
      </c>
      <c r="D26" s="3">
        <v>18</v>
      </c>
      <c r="E26" s="3">
        <v>300</v>
      </c>
      <c r="F26" s="3" t="s">
        <v>260</v>
      </c>
      <c r="G26" s="7">
        <f>D26/E26*1000</f>
        <v>60</v>
      </c>
      <c r="I26" s="3" t="s">
        <v>17</v>
      </c>
      <c r="J26" s="3" t="b">
        <v>1</v>
      </c>
      <c r="K26" s="5" t="b">
        <v>0</v>
      </c>
    </row>
    <row r="27" spans="1:11" x14ac:dyDescent="0.3">
      <c r="A27" s="3" t="s">
        <v>9</v>
      </c>
      <c r="B27" s="2" t="s">
        <v>57</v>
      </c>
      <c r="C27" s="3" t="s">
        <v>58</v>
      </c>
      <c r="D27" s="3">
        <v>18</v>
      </c>
      <c r="E27" s="3">
        <v>1</v>
      </c>
      <c r="F27" s="3" t="s">
        <v>261</v>
      </c>
      <c r="G27" s="7"/>
      <c r="H27" s="3">
        <v>18</v>
      </c>
      <c r="I27" s="3" t="s">
        <v>33</v>
      </c>
      <c r="J27" s="3" t="b">
        <v>1</v>
      </c>
      <c r="K27" s="5" t="b">
        <v>0</v>
      </c>
    </row>
    <row r="28" spans="1:11" x14ac:dyDescent="0.3">
      <c r="A28" s="3" t="s">
        <v>9</v>
      </c>
      <c r="B28" s="2" t="s">
        <v>59</v>
      </c>
      <c r="C28" s="3" t="s">
        <v>60</v>
      </c>
      <c r="D28" s="3">
        <v>15</v>
      </c>
      <c r="E28" s="3">
        <v>500</v>
      </c>
      <c r="F28" s="3" t="s">
        <v>260</v>
      </c>
      <c r="G28" s="7">
        <f>D28/E28*1000</f>
        <v>30</v>
      </c>
      <c r="I28" s="3" t="s">
        <v>17</v>
      </c>
      <c r="J28" s="3" t="b">
        <v>1</v>
      </c>
      <c r="K28" s="5" t="b">
        <v>0</v>
      </c>
    </row>
    <row r="29" spans="1:11" x14ac:dyDescent="0.3">
      <c r="A29" s="3" t="s">
        <v>9</v>
      </c>
      <c r="B29" s="2" t="s">
        <v>61</v>
      </c>
      <c r="C29" s="3" t="s">
        <v>62</v>
      </c>
      <c r="D29" s="3">
        <v>29</v>
      </c>
      <c r="E29" s="3">
        <v>3</v>
      </c>
      <c r="F29" s="3" t="s">
        <v>261</v>
      </c>
      <c r="G29" s="7"/>
      <c r="H29" s="3">
        <v>9.67</v>
      </c>
      <c r="I29" s="3" t="s">
        <v>63</v>
      </c>
      <c r="J29" s="3" t="b">
        <v>1</v>
      </c>
      <c r="K29" s="5" t="b">
        <v>0</v>
      </c>
    </row>
    <row r="30" spans="1:11" x14ac:dyDescent="0.3">
      <c r="A30" s="3" t="s">
        <v>9</v>
      </c>
      <c r="B30" s="2" t="s">
        <v>64</v>
      </c>
      <c r="C30" s="3" t="s">
        <v>65</v>
      </c>
      <c r="D30" s="3">
        <v>13</v>
      </c>
      <c r="E30" s="3">
        <v>1000</v>
      </c>
      <c r="F30" s="3" t="s">
        <v>260</v>
      </c>
      <c r="G30" s="7">
        <f>D30/E30*1000</f>
        <v>13</v>
      </c>
      <c r="I30" s="3" t="s">
        <v>17</v>
      </c>
      <c r="J30" s="3" t="b">
        <v>1</v>
      </c>
      <c r="K30" s="5" t="b">
        <v>0</v>
      </c>
    </row>
    <row r="31" spans="1:11" x14ac:dyDescent="0.3">
      <c r="A31" s="3" t="s">
        <v>9</v>
      </c>
      <c r="B31" s="2" t="s">
        <v>66</v>
      </c>
      <c r="C31" s="3" t="s">
        <v>67</v>
      </c>
      <c r="D31" s="3">
        <v>13.94</v>
      </c>
      <c r="E31" s="3">
        <v>700</v>
      </c>
      <c r="F31" s="3" t="s">
        <v>260</v>
      </c>
      <c r="G31" s="7">
        <f>D31/E31*1000</f>
        <v>19.914285714285715</v>
      </c>
      <c r="I31" s="3" t="s">
        <v>68</v>
      </c>
      <c r="J31" s="3" t="b">
        <v>1</v>
      </c>
      <c r="K31" s="5" t="b">
        <v>0</v>
      </c>
    </row>
    <row r="32" spans="1:11" x14ac:dyDescent="0.3">
      <c r="A32" s="3" t="s">
        <v>9</v>
      </c>
      <c r="B32" s="2" t="s">
        <v>69</v>
      </c>
      <c r="C32" s="3" t="s">
        <v>70</v>
      </c>
      <c r="D32" s="3">
        <v>17</v>
      </c>
      <c r="E32" s="3">
        <v>1</v>
      </c>
      <c r="F32" s="3" t="s">
        <v>261</v>
      </c>
      <c r="G32" s="7"/>
      <c r="H32" s="3">
        <v>17</v>
      </c>
      <c r="I32" s="3" t="s">
        <v>33</v>
      </c>
      <c r="J32" s="3" t="b">
        <v>1</v>
      </c>
      <c r="K32" s="5" t="b">
        <v>0</v>
      </c>
    </row>
    <row r="33" spans="1:11" x14ac:dyDescent="0.3">
      <c r="A33" s="3" t="s">
        <v>9</v>
      </c>
      <c r="B33" s="2" t="s">
        <v>71</v>
      </c>
      <c r="C33" s="3" t="s">
        <v>72</v>
      </c>
      <c r="D33" s="3">
        <v>3.5</v>
      </c>
      <c r="E33" s="3">
        <v>1</v>
      </c>
      <c r="F33" s="3" t="s">
        <v>261</v>
      </c>
      <c r="G33" s="7"/>
      <c r="H33" s="3">
        <v>3.5</v>
      </c>
      <c r="I33" s="3" t="s">
        <v>33</v>
      </c>
      <c r="J33" s="3" t="b">
        <v>1</v>
      </c>
      <c r="K33" s="5" t="b">
        <v>0</v>
      </c>
    </row>
    <row r="34" spans="1:11" x14ac:dyDescent="0.3">
      <c r="A34" s="3" t="s">
        <v>9</v>
      </c>
      <c r="B34" s="2" t="s">
        <v>73</v>
      </c>
      <c r="C34" s="3" t="s">
        <v>74</v>
      </c>
      <c r="D34" s="3">
        <v>14.5</v>
      </c>
      <c r="E34" s="3">
        <v>200</v>
      </c>
      <c r="F34" s="3" t="s">
        <v>260</v>
      </c>
      <c r="G34" s="7">
        <f>D34/E34*1000</f>
        <v>72.5</v>
      </c>
      <c r="I34" s="3" t="s">
        <v>68</v>
      </c>
      <c r="J34" s="3" t="b">
        <v>1</v>
      </c>
      <c r="K34" s="5" t="b">
        <v>0</v>
      </c>
    </row>
    <row r="35" spans="1:11" x14ac:dyDescent="0.3">
      <c r="A35" s="3" t="s">
        <v>9</v>
      </c>
      <c r="B35" s="2" t="s">
        <v>75</v>
      </c>
      <c r="C35" s="3" t="s">
        <v>76</v>
      </c>
      <c r="D35" s="3">
        <v>10</v>
      </c>
      <c r="E35" s="3">
        <v>1</v>
      </c>
      <c r="F35" s="3" t="s">
        <v>261</v>
      </c>
      <c r="G35" s="7"/>
      <c r="H35" s="3">
        <v>10</v>
      </c>
      <c r="I35" s="3" t="s">
        <v>33</v>
      </c>
      <c r="J35" s="3" t="b">
        <v>1</v>
      </c>
      <c r="K35" s="5" t="b">
        <v>0</v>
      </c>
    </row>
    <row r="36" spans="1:11" x14ac:dyDescent="0.3">
      <c r="A36" s="3" t="s">
        <v>9</v>
      </c>
      <c r="B36" s="2" t="s">
        <v>77</v>
      </c>
      <c r="C36" s="3" t="s">
        <v>78</v>
      </c>
      <c r="D36" s="3">
        <v>42.95</v>
      </c>
      <c r="E36" s="3">
        <v>450</v>
      </c>
      <c r="F36" s="3" t="s">
        <v>260</v>
      </c>
      <c r="G36" s="7">
        <f t="shared" ref="G36:G66" si="1">D36/E36*1000</f>
        <v>95.444444444444457</v>
      </c>
      <c r="I36" s="3" t="s">
        <v>12</v>
      </c>
      <c r="J36" s="3" t="b">
        <v>0</v>
      </c>
      <c r="K36" s="5" t="b">
        <v>0</v>
      </c>
    </row>
    <row r="37" spans="1:11" x14ac:dyDescent="0.3">
      <c r="A37" s="3" t="s">
        <v>9</v>
      </c>
      <c r="B37" s="2" t="s">
        <v>77</v>
      </c>
      <c r="C37" s="3" t="s">
        <v>79</v>
      </c>
      <c r="D37" s="3">
        <v>39.950000000000003</v>
      </c>
      <c r="E37" s="3">
        <v>300</v>
      </c>
      <c r="F37" s="3" t="s">
        <v>260</v>
      </c>
      <c r="G37" s="7">
        <f t="shared" si="1"/>
        <v>133.16666666666669</v>
      </c>
      <c r="I37" s="3" t="s">
        <v>12</v>
      </c>
      <c r="J37" s="3" t="b">
        <v>0</v>
      </c>
      <c r="K37" s="5" t="b">
        <v>0</v>
      </c>
    </row>
    <row r="38" spans="1:11" x14ac:dyDescent="0.3">
      <c r="A38" s="3" t="s">
        <v>9</v>
      </c>
      <c r="B38" s="2" t="s">
        <v>80</v>
      </c>
      <c r="C38" s="3" t="s">
        <v>81</v>
      </c>
      <c r="D38" s="3">
        <v>74.95</v>
      </c>
      <c r="E38" s="3">
        <v>1350</v>
      </c>
      <c r="F38" s="3" t="s">
        <v>260</v>
      </c>
      <c r="G38" s="7">
        <f t="shared" si="1"/>
        <v>55.518518518518519</v>
      </c>
      <c r="I38" s="3" t="s">
        <v>68</v>
      </c>
      <c r="J38" s="3" t="b">
        <v>0</v>
      </c>
      <c r="K38" s="5" t="b">
        <v>0</v>
      </c>
    </row>
    <row r="39" spans="1:11" x14ac:dyDescent="0.3">
      <c r="A39" s="3" t="s">
        <v>9</v>
      </c>
      <c r="B39" s="2" t="s">
        <v>82</v>
      </c>
      <c r="C39" s="3" t="s">
        <v>83</v>
      </c>
      <c r="D39" s="3">
        <v>39.950000000000003</v>
      </c>
      <c r="E39" s="3">
        <v>700</v>
      </c>
      <c r="F39" s="3" t="s">
        <v>260</v>
      </c>
      <c r="G39" s="7">
        <f t="shared" si="1"/>
        <v>57.071428571428577</v>
      </c>
      <c r="I39" s="3" t="s">
        <v>12</v>
      </c>
      <c r="J39" s="3" t="b">
        <v>0</v>
      </c>
      <c r="K39" s="5" t="b">
        <v>0</v>
      </c>
    </row>
    <row r="40" spans="1:11" x14ac:dyDescent="0.3">
      <c r="A40" s="3" t="s">
        <v>9</v>
      </c>
      <c r="B40" s="2" t="s">
        <v>82</v>
      </c>
      <c r="C40" s="3" t="s">
        <v>84</v>
      </c>
      <c r="D40" s="3">
        <v>65</v>
      </c>
      <c r="E40" s="3">
        <v>1600</v>
      </c>
      <c r="F40" s="3" t="s">
        <v>260</v>
      </c>
      <c r="G40" s="7">
        <f t="shared" si="1"/>
        <v>40.625</v>
      </c>
      <c r="I40" s="3" t="s">
        <v>12</v>
      </c>
      <c r="J40" s="3" t="b">
        <v>0</v>
      </c>
      <c r="K40" s="5" t="b">
        <v>0</v>
      </c>
    </row>
    <row r="41" spans="1:11" x14ac:dyDescent="0.3">
      <c r="A41" s="3" t="s">
        <v>9</v>
      </c>
      <c r="B41" s="2" t="s">
        <v>85</v>
      </c>
      <c r="C41" s="3" t="s">
        <v>86</v>
      </c>
      <c r="D41" s="3">
        <v>42.95</v>
      </c>
      <c r="E41" s="3">
        <v>400</v>
      </c>
      <c r="F41" s="3" t="s">
        <v>260</v>
      </c>
      <c r="G41" s="7">
        <f t="shared" si="1"/>
        <v>107.37500000000001</v>
      </c>
      <c r="I41" s="3" t="s">
        <v>12</v>
      </c>
      <c r="J41" s="3" t="b">
        <v>0</v>
      </c>
      <c r="K41" s="5" t="b">
        <v>0</v>
      </c>
    </row>
    <row r="42" spans="1:11" x14ac:dyDescent="0.3">
      <c r="A42" s="3" t="s">
        <v>9</v>
      </c>
      <c r="B42" s="2" t="s">
        <v>87</v>
      </c>
      <c r="C42" s="3" t="s">
        <v>88</v>
      </c>
      <c r="D42" s="3">
        <v>49.95</v>
      </c>
      <c r="E42" s="3">
        <v>400</v>
      </c>
      <c r="F42" s="3" t="s">
        <v>260</v>
      </c>
      <c r="G42" s="7">
        <f t="shared" si="1"/>
        <v>124.87500000000001</v>
      </c>
      <c r="I42" s="3" t="s">
        <v>89</v>
      </c>
      <c r="J42" s="3" t="b">
        <v>0</v>
      </c>
      <c r="K42" s="5" t="b">
        <v>0</v>
      </c>
    </row>
    <row r="43" spans="1:11" x14ac:dyDescent="0.3">
      <c r="A43" s="3" t="s">
        <v>9</v>
      </c>
      <c r="B43" s="2" t="s">
        <v>90</v>
      </c>
      <c r="C43" s="3" t="s">
        <v>91</v>
      </c>
      <c r="D43" s="3">
        <v>99.95</v>
      </c>
      <c r="E43" s="3">
        <v>350</v>
      </c>
      <c r="F43" s="3" t="s">
        <v>260</v>
      </c>
      <c r="G43" s="7">
        <f t="shared" si="1"/>
        <v>285.57142857142861</v>
      </c>
      <c r="I43" s="3" t="s">
        <v>89</v>
      </c>
      <c r="J43" s="3" t="b">
        <v>0</v>
      </c>
      <c r="K43" s="5" t="b">
        <v>0</v>
      </c>
    </row>
    <row r="44" spans="1:11" x14ac:dyDescent="0.3">
      <c r="A44" s="3" t="s">
        <v>9</v>
      </c>
      <c r="B44" s="2" t="s">
        <v>92</v>
      </c>
      <c r="C44" s="3" t="s">
        <v>93</v>
      </c>
      <c r="D44" s="3">
        <v>39.950000000000003</v>
      </c>
      <c r="E44" s="3">
        <v>400</v>
      </c>
      <c r="F44" s="3" t="s">
        <v>260</v>
      </c>
      <c r="G44" s="7">
        <f t="shared" si="1"/>
        <v>99.875</v>
      </c>
      <c r="I44" s="3" t="s">
        <v>12</v>
      </c>
      <c r="J44" s="3" t="b">
        <v>0</v>
      </c>
      <c r="K44" s="5" t="b">
        <v>0</v>
      </c>
    </row>
    <row r="45" spans="1:11" x14ac:dyDescent="0.3">
      <c r="A45" s="3" t="s">
        <v>9</v>
      </c>
      <c r="B45" s="2" t="s">
        <v>94</v>
      </c>
      <c r="C45" s="3" t="s">
        <v>95</v>
      </c>
      <c r="D45" s="3">
        <v>239</v>
      </c>
      <c r="E45" s="3">
        <v>1200</v>
      </c>
      <c r="F45" s="3" t="s">
        <v>260</v>
      </c>
      <c r="G45" s="7">
        <f t="shared" si="1"/>
        <v>199.16666666666666</v>
      </c>
      <c r="I45" s="3" t="s">
        <v>89</v>
      </c>
      <c r="J45" s="3" t="b">
        <v>0</v>
      </c>
      <c r="K45" s="5" t="b">
        <v>0</v>
      </c>
    </row>
    <row r="46" spans="1:11" x14ac:dyDescent="0.3">
      <c r="A46" s="3" t="s">
        <v>9</v>
      </c>
      <c r="B46" s="2" t="s">
        <v>96</v>
      </c>
      <c r="C46" s="3" t="s">
        <v>97</v>
      </c>
      <c r="D46" s="3">
        <v>39.950000000000003</v>
      </c>
      <c r="E46" s="3">
        <v>400</v>
      </c>
      <c r="F46" s="3" t="s">
        <v>260</v>
      </c>
      <c r="G46" s="7">
        <f t="shared" si="1"/>
        <v>99.875</v>
      </c>
      <c r="I46" s="3" t="s">
        <v>12</v>
      </c>
      <c r="J46" s="3" t="b">
        <v>0</v>
      </c>
      <c r="K46" s="5" t="b">
        <v>0</v>
      </c>
    </row>
    <row r="47" spans="1:11" x14ac:dyDescent="0.3">
      <c r="A47" s="3" t="s">
        <v>9</v>
      </c>
      <c r="B47" s="2" t="s">
        <v>96</v>
      </c>
      <c r="C47" s="3" t="s">
        <v>98</v>
      </c>
      <c r="D47" s="3">
        <v>35.950000000000003</v>
      </c>
      <c r="E47" s="3">
        <v>300</v>
      </c>
      <c r="F47" s="3" t="s">
        <v>260</v>
      </c>
      <c r="G47" s="7">
        <f t="shared" si="1"/>
        <v>119.83333333333334</v>
      </c>
      <c r="I47" s="3" t="s">
        <v>12</v>
      </c>
      <c r="J47" s="3" t="b">
        <v>0</v>
      </c>
      <c r="K47" s="5" t="b">
        <v>0</v>
      </c>
    </row>
    <row r="48" spans="1:11" x14ac:dyDescent="0.3">
      <c r="A48" s="3" t="s">
        <v>9</v>
      </c>
      <c r="B48" s="2" t="s">
        <v>99</v>
      </c>
      <c r="C48" s="3" t="s">
        <v>100</v>
      </c>
      <c r="D48" s="3">
        <v>96.24</v>
      </c>
      <c r="E48" s="3">
        <v>450</v>
      </c>
      <c r="F48" s="3" t="s">
        <v>260</v>
      </c>
      <c r="G48" s="7">
        <f t="shared" si="1"/>
        <v>213.86666666666665</v>
      </c>
      <c r="I48" s="3" t="s">
        <v>17</v>
      </c>
      <c r="J48" s="3" t="b">
        <v>0</v>
      </c>
      <c r="K48" s="5" t="b">
        <v>0</v>
      </c>
    </row>
    <row r="49" spans="1:11" x14ac:dyDescent="0.3">
      <c r="A49" s="3" t="s">
        <v>9</v>
      </c>
      <c r="B49" s="2" t="s">
        <v>101</v>
      </c>
      <c r="C49" s="3" t="s">
        <v>102</v>
      </c>
      <c r="D49" s="3">
        <v>37.950000000000003</v>
      </c>
      <c r="E49" s="3">
        <v>500</v>
      </c>
      <c r="F49" s="3" t="s">
        <v>260</v>
      </c>
      <c r="G49" s="7">
        <f t="shared" si="1"/>
        <v>75.900000000000006</v>
      </c>
      <c r="I49" s="3" t="s">
        <v>89</v>
      </c>
      <c r="J49" s="3" t="b">
        <v>0</v>
      </c>
      <c r="K49" s="5" t="b">
        <v>0</v>
      </c>
    </row>
    <row r="50" spans="1:11" x14ac:dyDescent="0.3">
      <c r="A50" s="3" t="s">
        <v>9</v>
      </c>
      <c r="B50" s="2" t="s">
        <v>103</v>
      </c>
      <c r="C50" s="3" t="s">
        <v>104</v>
      </c>
      <c r="D50" s="3">
        <v>42.95</v>
      </c>
      <c r="E50" s="3">
        <v>400</v>
      </c>
      <c r="F50" s="3" t="s">
        <v>260</v>
      </c>
      <c r="G50" s="7">
        <f t="shared" si="1"/>
        <v>107.37500000000001</v>
      </c>
      <c r="I50" s="3" t="s">
        <v>89</v>
      </c>
      <c r="J50" s="3" t="b">
        <v>0</v>
      </c>
      <c r="K50" s="5" t="b">
        <v>0</v>
      </c>
    </row>
    <row r="51" spans="1:11" x14ac:dyDescent="0.3">
      <c r="A51" s="3" t="s">
        <v>9</v>
      </c>
      <c r="B51" s="2" t="s">
        <v>287</v>
      </c>
      <c r="C51" s="3" t="s">
        <v>105</v>
      </c>
      <c r="D51" s="3">
        <v>39.950000000000003</v>
      </c>
      <c r="E51" s="3">
        <v>400</v>
      </c>
      <c r="F51" s="3" t="s">
        <v>260</v>
      </c>
      <c r="G51" s="7">
        <f t="shared" si="1"/>
        <v>99.875</v>
      </c>
      <c r="I51" s="3" t="s">
        <v>89</v>
      </c>
      <c r="J51" s="3" t="b">
        <v>0</v>
      </c>
      <c r="K51" s="5" t="b">
        <v>0</v>
      </c>
    </row>
    <row r="52" spans="1:11" x14ac:dyDescent="0.3">
      <c r="A52" s="3" t="s">
        <v>9</v>
      </c>
      <c r="B52" s="2" t="s">
        <v>106</v>
      </c>
      <c r="C52" s="3" t="s">
        <v>107</v>
      </c>
      <c r="D52" s="3">
        <v>14.95</v>
      </c>
      <c r="E52" s="3">
        <v>200</v>
      </c>
      <c r="F52" s="3" t="s">
        <v>260</v>
      </c>
      <c r="G52" s="7">
        <f t="shared" si="1"/>
        <v>74.75</v>
      </c>
      <c r="I52" s="3" t="s">
        <v>108</v>
      </c>
      <c r="J52" s="3" t="b">
        <v>0</v>
      </c>
      <c r="K52" s="5" t="b">
        <v>0</v>
      </c>
    </row>
    <row r="53" spans="1:11" x14ac:dyDescent="0.3">
      <c r="A53" s="3" t="s">
        <v>9</v>
      </c>
      <c r="B53" s="2" t="s">
        <v>109</v>
      </c>
      <c r="C53" s="3" t="s">
        <v>110</v>
      </c>
      <c r="D53" s="3">
        <v>17.95</v>
      </c>
      <c r="E53" s="3">
        <v>300</v>
      </c>
      <c r="F53" s="3" t="s">
        <v>260</v>
      </c>
      <c r="G53" s="7">
        <f t="shared" si="1"/>
        <v>59.833333333333329</v>
      </c>
      <c r="I53" s="3" t="s">
        <v>111</v>
      </c>
      <c r="J53" s="3" t="b">
        <v>0</v>
      </c>
      <c r="K53" s="5" t="b">
        <v>0</v>
      </c>
    </row>
    <row r="54" spans="1:11" x14ac:dyDescent="0.3">
      <c r="A54" s="3" t="s">
        <v>9</v>
      </c>
      <c r="B54" s="2" t="s">
        <v>112</v>
      </c>
      <c r="C54" s="3" t="s">
        <v>113</v>
      </c>
      <c r="D54" s="3">
        <v>17.95</v>
      </c>
      <c r="E54" s="3">
        <v>200</v>
      </c>
      <c r="F54" s="3" t="s">
        <v>260</v>
      </c>
      <c r="G54" s="7">
        <f t="shared" si="1"/>
        <v>89.75</v>
      </c>
      <c r="I54" s="3" t="s">
        <v>12</v>
      </c>
      <c r="J54" s="3" t="b">
        <v>0</v>
      </c>
      <c r="K54" s="5" t="b">
        <v>0</v>
      </c>
    </row>
    <row r="55" spans="1:11" x14ac:dyDescent="0.3">
      <c r="A55" s="3" t="s">
        <v>9</v>
      </c>
      <c r="B55" s="2" t="s">
        <v>114</v>
      </c>
      <c r="C55" s="3" t="s">
        <v>115</v>
      </c>
      <c r="D55" s="3">
        <v>14.95</v>
      </c>
      <c r="E55" s="3">
        <v>150</v>
      </c>
      <c r="F55" s="3" t="s">
        <v>260</v>
      </c>
      <c r="G55" s="7">
        <f t="shared" si="1"/>
        <v>99.666666666666671</v>
      </c>
      <c r="I55" s="3" t="s">
        <v>108</v>
      </c>
      <c r="J55" s="3" t="b">
        <v>0</v>
      </c>
      <c r="K55" s="5" t="b">
        <v>0</v>
      </c>
    </row>
    <row r="56" spans="1:11" x14ac:dyDescent="0.3">
      <c r="A56" s="3" t="s">
        <v>9</v>
      </c>
      <c r="B56" s="2" t="s">
        <v>116</v>
      </c>
      <c r="C56" s="3" t="s">
        <v>117</v>
      </c>
      <c r="D56" s="3">
        <v>34.950000000000003</v>
      </c>
      <c r="E56" s="3">
        <v>500</v>
      </c>
      <c r="F56" s="3" t="s">
        <v>260</v>
      </c>
      <c r="G56" s="7">
        <f t="shared" si="1"/>
        <v>69.900000000000006</v>
      </c>
      <c r="I56" s="3" t="s">
        <v>89</v>
      </c>
      <c r="J56" s="3" t="b">
        <v>0</v>
      </c>
      <c r="K56" s="5" t="b">
        <v>0</v>
      </c>
    </row>
    <row r="57" spans="1:11" x14ac:dyDescent="0.3">
      <c r="A57" s="3" t="s">
        <v>9</v>
      </c>
      <c r="B57" s="2" t="s">
        <v>118</v>
      </c>
      <c r="C57" s="3" t="s">
        <v>119</v>
      </c>
      <c r="D57" s="3">
        <v>179</v>
      </c>
      <c r="E57" s="3">
        <v>2100</v>
      </c>
      <c r="F57" s="3" t="s">
        <v>260</v>
      </c>
      <c r="G57" s="7">
        <f t="shared" si="1"/>
        <v>85.238095238095241</v>
      </c>
      <c r="I57" s="3" t="s">
        <v>120</v>
      </c>
      <c r="J57" s="3" t="b">
        <v>0</v>
      </c>
      <c r="K57" s="5" t="b">
        <v>0</v>
      </c>
    </row>
    <row r="58" spans="1:11" x14ac:dyDescent="0.3">
      <c r="A58" s="3" t="s">
        <v>9</v>
      </c>
      <c r="B58" s="2" t="s">
        <v>121</v>
      </c>
      <c r="C58" s="3" t="s">
        <v>122</v>
      </c>
      <c r="D58" s="3">
        <v>129</v>
      </c>
      <c r="E58" s="3">
        <v>1300</v>
      </c>
      <c r="F58" s="3" t="s">
        <v>260</v>
      </c>
      <c r="G58" s="7">
        <f t="shared" si="1"/>
        <v>99.230769230769226</v>
      </c>
      <c r="I58" s="3" t="s">
        <v>120</v>
      </c>
      <c r="J58" s="3" t="b">
        <v>0</v>
      </c>
      <c r="K58" s="5" t="b">
        <v>0</v>
      </c>
    </row>
    <row r="59" spans="1:11" x14ac:dyDescent="0.3">
      <c r="A59" s="2" t="s">
        <v>9</v>
      </c>
      <c r="B59" s="2" t="s">
        <v>123</v>
      </c>
      <c r="C59" s="2" t="s">
        <v>124</v>
      </c>
      <c r="D59" s="2">
        <v>95</v>
      </c>
      <c r="E59" s="2">
        <v>1000</v>
      </c>
      <c r="F59" s="6" t="s">
        <v>260</v>
      </c>
      <c r="G59" s="7">
        <f t="shared" si="1"/>
        <v>95</v>
      </c>
      <c r="H59" s="2"/>
      <c r="I59" s="2" t="s">
        <v>89</v>
      </c>
      <c r="J59" s="3" t="b">
        <v>0</v>
      </c>
      <c r="K59" s="5" t="b">
        <v>0</v>
      </c>
    </row>
    <row r="60" spans="1:11" x14ac:dyDescent="0.3">
      <c r="A60" s="2" t="s">
        <v>9</v>
      </c>
      <c r="B60" s="2" t="s">
        <v>125</v>
      </c>
      <c r="C60" s="2" t="s">
        <v>126</v>
      </c>
      <c r="D60" s="2">
        <v>99</v>
      </c>
      <c r="E60" s="2">
        <v>600</v>
      </c>
      <c r="F60" s="6" t="s">
        <v>260</v>
      </c>
      <c r="G60" s="7">
        <f t="shared" si="1"/>
        <v>165</v>
      </c>
      <c r="H60" s="2"/>
      <c r="I60" s="2" t="s">
        <v>12</v>
      </c>
      <c r="J60" s="2" t="b">
        <v>0</v>
      </c>
      <c r="K60" s="5" t="b">
        <v>0</v>
      </c>
    </row>
    <row r="61" spans="1:11" x14ac:dyDescent="0.3">
      <c r="A61" s="2" t="s">
        <v>9</v>
      </c>
      <c r="B61" s="2" t="s">
        <v>125</v>
      </c>
      <c r="C61" s="2" t="s">
        <v>127</v>
      </c>
      <c r="D61" s="2">
        <v>59.95</v>
      </c>
      <c r="E61" s="2">
        <v>225</v>
      </c>
      <c r="F61" s="6" t="s">
        <v>260</v>
      </c>
      <c r="G61" s="7">
        <f t="shared" si="1"/>
        <v>266.44444444444446</v>
      </c>
      <c r="H61" s="2"/>
      <c r="I61" s="2" t="s">
        <v>12</v>
      </c>
      <c r="J61" s="2" t="b">
        <v>0</v>
      </c>
      <c r="K61" s="5" t="b">
        <v>0</v>
      </c>
    </row>
    <row r="62" spans="1:11" x14ac:dyDescent="0.3">
      <c r="A62" s="2" t="s">
        <v>9</v>
      </c>
      <c r="B62" s="2" t="s">
        <v>128</v>
      </c>
      <c r="C62" s="2" t="s">
        <v>129</v>
      </c>
      <c r="D62" s="2">
        <v>49</v>
      </c>
      <c r="E62" s="2">
        <v>300</v>
      </c>
      <c r="F62" s="6" t="s">
        <v>260</v>
      </c>
      <c r="G62" s="7">
        <f t="shared" si="1"/>
        <v>163.33333333333334</v>
      </c>
      <c r="H62" s="2"/>
      <c r="I62" s="2" t="s">
        <v>12</v>
      </c>
      <c r="J62" s="2" t="b">
        <v>0</v>
      </c>
      <c r="K62" s="2" t="b">
        <v>0</v>
      </c>
    </row>
    <row r="63" spans="1:11" x14ac:dyDescent="0.3">
      <c r="A63" s="2" t="s">
        <v>9</v>
      </c>
      <c r="B63" s="2" t="s">
        <v>130</v>
      </c>
      <c r="C63" s="2" t="s">
        <v>131</v>
      </c>
      <c r="D63" s="2">
        <v>70</v>
      </c>
      <c r="E63" s="2">
        <v>400</v>
      </c>
      <c r="F63" s="6" t="s">
        <v>260</v>
      </c>
      <c r="G63" s="7">
        <f t="shared" si="1"/>
        <v>175</v>
      </c>
      <c r="H63" s="2"/>
      <c r="I63" s="2" t="s">
        <v>68</v>
      </c>
      <c r="J63" s="5" t="s">
        <v>132</v>
      </c>
      <c r="K63" s="4" t="b">
        <v>0</v>
      </c>
    </row>
    <row r="64" spans="1:11" x14ac:dyDescent="0.3">
      <c r="A64" s="2" t="s">
        <v>9</v>
      </c>
      <c r="B64" s="2" t="s">
        <v>133</v>
      </c>
      <c r="C64" s="2" t="s">
        <v>134</v>
      </c>
      <c r="D64" s="2">
        <v>38.450000000000003</v>
      </c>
      <c r="E64" s="2">
        <v>400</v>
      </c>
      <c r="F64" s="6" t="s">
        <v>260</v>
      </c>
      <c r="G64" s="7">
        <f t="shared" si="1"/>
        <v>96.125</v>
      </c>
      <c r="H64" s="2"/>
      <c r="I64" s="2" t="s">
        <v>12</v>
      </c>
      <c r="J64" s="5" t="s">
        <v>132</v>
      </c>
      <c r="K64" s="4" t="b">
        <v>0</v>
      </c>
    </row>
    <row r="65" spans="1:11" x14ac:dyDescent="0.3">
      <c r="A65" s="2" t="s">
        <v>9</v>
      </c>
      <c r="B65" s="2" t="s">
        <v>135</v>
      </c>
      <c r="C65" s="2" t="s">
        <v>136</v>
      </c>
      <c r="D65" s="2">
        <v>14</v>
      </c>
      <c r="E65" s="2">
        <v>80</v>
      </c>
      <c r="F65" s="6" t="s">
        <v>260</v>
      </c>
      <c r="G65" s="7">
        <f t="shared" si="1"/>
        <v>175</v>
      </c>
      <c r="H65" s="2"/>
      <c r="I65" s="2" t="s">
        <v>137</v>
      </c>
      <c r="J65" s="5" t="s">
        <v>132</v>
      </c>
      <c r="K65" s="4" t="b">
        <v>0</v>
      </c>
    </row>
    <row r="66" spans="1:11" x14ac:dyDescent="0.3">
      <c r="A66" s="2" t="s">
        <v>9</v>
      </c>
      <c r="B66" s="2" t="s">
        <v>135</v>
      </c>
      <c r="C66" s="2" t="s">
        <v>138</v>
      </c>
      <c r="D66" s="2">
        <v>75</v>
      </c>
      <c r="E66" s="2">
        <v>600</v>
      </c>
      <c r="F66" s="6" t="s">
        <v>260</v>
      </c>
      <c r="G66" s="7">
        <f t="shared" si="1"/>
        <v>125</v>
      </c>
      <c r="H66" s="2"/>
      <c r="I66" s="2" t="s">
        <v>12</v>
      </c>
      <c r="J66" s="5" t="s">
        <v>132</v>
      </c>
      <c r="K66" s="3" t="b">
        <v>1</v>
      </c>
    </row>
    <row r="67" spans="1:11" x14ac:dyDescent="0.3">
      <c r="A67" s="2" t="s">
        <v>9</v>
      </c>
      <c r="B67" s="2" t="s">
        <v>139</v>
      </c>
      <c r="C67" s="2" t="s">
        <v>140</v>
      </c>
      <c r="D67" s="2">
        <v>29.95</v>
      </c>
      <c r="E67" s="2">
        <v>10</v>
      </c>
      <c r="F67" s="6" t="s">
        <v>261</v>
      </c>
      <c r="G67" s="7"/>
      <c r="H67" s="2">
        <v>3</v>
      </c>
      <c r="I67" s="2" t="s">
        <v>12</v>
      </c>
      <c r="J67" s="2" t="b">
        <v>1</v>
      </c>
      <c r="K67" s="3" t="b">
        <v>0</v>
      </c>
    </row>
    <row r="68" spans="1:11" x14ac:dyDescent="0.3">
      <c r="A68" s="2" t="s">
        <v>9</v>
      </c>
      <c r="B68" s="2" t="s">
        <v>141</v>
      </c>
      <c r="C68" s="2" t="s">
        <v>142</v>
      </c>
      <c r="D68" s="2">
        <v>59.95</v>
      </c>
      <c r="E68" s="2">
        <v>200</v>
      </c>
      <c r="F68" s="6" t="s">
        <v>260</v>
      </c>
      <c r="G68" s="7">
        <f t="shared" ref="G68:G128" si="2">D68/E68*1000</f>
        <v>299.75</v>
      </c>
      <c r="H68" s="2"/>
      <c r="I68" s="2" t="s">
        <v>143</v>
      </c>
      <c r="J68" s="2" t="b">
        <v>1</v>
      </c>
      <c r="K68" s="3" t="b">
        <v>0</v>
      </c>
    </row>
    <row r="69" spans="1:11" x14ac:dyDescent="0.3">
      <c r="A69" s="2" t="s">
        <v>9</v>
      </c>
      <c r="B69" s="2" t="s">
        <v>141</v>
      </c>
      <c r="C69" s="2" t="s">
        <v>144</v>
      </c>
      <c r="D69" s="2">
        <v>35.5</v>
      </c>
      <c r="E69" s="2">
        <v>125</v>
      </c>
      <c r="F69" s="6" t="s">
        <v>260</v>
      </c>
      <c r="G69" s="7">
        <f t="shared" si="2"/>
        <v>284</v>
      </c>
      <c r="H69" s="2"/>
      <c r="I69" s="2" t="s">
        <v>143</v>
      </c>
      <c r="J69" s="2" t="b">
        <v>1</v>
      </c>
      <c r="K69" s="3" t="b">
        <v>0</v>
      </c>
    </row>
    <row r="70" spans="1:11" x14ac:dyDescent="0.3">
      <c r="A70" s="2" t="s">
        <v>9</v>
      </c>
      <c r="B70" s="2" t="s">
        <v>145</v>
      </c>
      <c r="C70" s="2" t="s">
        <v>146</v>
      </c>
      <c r="D70" s="2">
        <v>16</v>
      </c>
      <c r="E70" s="2">
        <v>200</v>
      </c>
      <c r="F70" s="6" t="s">
        <v>260</v>
      </c>
      <c r="G70" s="7">
        <f t="shared" si="2"/>
        <v>80</v>
      </c>
      <c r="H70" s="2"/>
      <c r="I70" s="2" t="s">
        <v>147</v>
      </c>
      <c r="J70" s="2" t="b">
        <v>1</v>
      </c>
      <c r="K70" s="3" t="b">
        <v>1</v>
      </c>
    </row>
    <row r="71" spans="1:11" x14ac:dyDescent="0.3">
      <c r="A71" s="2" t="s">
        <v>9</v>
      </c>
      <c r="B71" s="2" t="s">
        <v>145</v>
      </c>
      <c r="C71" s="2" t="s">
        <v>146</v>
      </c>
      <c r="D71" s="2">
        <v>32</v>
      </c>
      <c r="E71" s="2">
        <v>500</v>
      </c>
      <c r="F71" s="6" t="s">
        <v>260</v>
      </c>
      <c r="G71" s="7">
        <f t="shared" si="2"/>
        <v>64</v>
      </c>
      <c r="H71" s="2"/>
      <c r="I71" s="2" t="s">
        <v>147</v>
      </c>
      <c r="J71" s="2" t="b">
        <v>1</v>
      </c>
      <c r="K71" s="3" t="b">
        <v>1</v>
      </c>
    </row>
    <row r="72" spans="1:11" x14ac:dyDescent="0.3">
      <c r="A72" s="2" t="s">
        <v>9</v>
      </c>
      <c r="B72" s="2" t="s">
        <v>148</v>
      </c>
      <c r="C72" s="2" t="s">
        <v>149</v>
      </c>
      <c r="D72" s="2">
        <v>22.5</v>
      </c>
      <c r="E72" s="2">
        <v>300</v>
      </c>
      <c r="F72" s="6" t="s">
        <v>260</v>
      </c>
      <c r="G72" s="7">
        <f t="shared" si="2"/>
        <v>75</v>
      </c>
      <c r="H72" s="2"/>
      <c r="I72" s="2" t="s">
        <v>12</v>
      </c>
      <c r="J72" s="2" t="b">
        <v>1</v>
      </c>
      <c r="K72" s="2" t="b">
        <v>0</v>
      </c>
    </row>
    <row r="73" spans="1:11" x14ac:dyDescent="0.3">
      <c r="A73" s="2" t="s">
        <v>9</v>
      </c>
      <c r="B73" s="2" t="s">
        <v>150</v>
      </c>
      <c r="C73" s="2" t="s">
        <v>151</v>
      </c>
      <c r="D73" s="2">
        <v>63.65</v>
      </c>
      <c r="E73" s="2">
        <v>650</v>
      </c>
      <c r="F73" s="6" t="s">
        <v>260</v>
      </c>
      <c r="G73" s="7">
        <f t="shared" si="2"/>
        <v>97.92307692307692</v>
      </c>
      <c r="H73" s="2"/>
      <c r="I73" s="2" t="s">
        <v>152</v>
      </c>
      <c r="J73" s="2" t="b">
        <v>1</v>
      </c>
      <c r="K73" s="2" t="b">
        <v>0</v>
      </c>
    </row>
    <row r="74" spans="1:11" x14ac:dyDescent="0.3">
      <c r="A74" s="2" t="s">
        <v>9</v>
      </c>
      <c r="B74" s="2" t="s">
        <v>153</v>
      </c>
      <c r="C74" s="2" t="s">
        <v>154</v>
      </c>
      <c r="D74" s="2">
        <v>20</v>
      </c>
      <c r="E74" s="2">
        <v>450</v>
      </c>
      <c r="F74" s="6" t="s">
        <v>260</v>
      </c>
      <c r="G74" s="7">
        <f t="shared" si="2"/>
        <v>44.444444444444443</v>
      </c>
      <c r="H74" s="2"/>
      <c r="I74" s="2" t="s">
        <v>12</v>
      </c>
      <c r="J74" s="2" t="b">
        <v>1</v>
      </c>
      <c r="K74" s="2" t="b">
        <v>1</v>
      </c>
    </row>
    <row r="75" spans="1:11" x14ac:dyDescent="0.3">
      <c r="A75" s="2" t="s">
        <v>9</v>
      </c>
      <c r="B75" s="2" t="s">
        <v>153</v>
      </c>
      <c r="C75" s="2" t="s">
        <v>155</v>
      </c>
      <c r="D75" s="2">
        <v>11.95</v>
      </c>
      <c r="E75" s="2">
        <v>200</v>
      </c>
      <c r="F75" s="6" t="s">
        <v>260</v>
      </c>
      <c r="G75" s="7">
        <f t="shared" si="2"/>
        <v>59.75</v>
      </c>
      <c r="H75" s="2"/>
      <c r="I75" s="2" t="s">
        <v>156</v>
      </c>
      <c r="J75" s="2" t="b">
        <v>1</v>
      </c>
      <c r="K75" s="2" t="b">
        <v>0</v>
      </c>
    </row>
    <row r="76" spans="1:11" x14ac:dyDescent="0.3">
      <c r="A76" s="2" t="s">
        <v>9</v>
      </c>
      <c r="B76" s="2" t="s">
        <v>157</v>
      </c>
      <c r="C76" s="2" t="s">
        <v>158</v>
      </c>
      <c r="D76" s="2">
        <v>18.89</v>
      </c>
      <c r="E76" s="2">
        <v>200</v>
      </c>
      <c r="F76" s="6" t="s">
        <v>260</v>
      </c>
      <c r="G76" s="7">
        <f t="shared" si="2"/>
        <v>94.45</v>
      </c>
      <c r="H76" s="2"/>
      <c r="I76" s="2" t="s">
        <v>159</v>
      </c>
      <c r="J76" s="2" t="b">
        <v>1</v>
      </c>
      <c r="K76" s="2" t="b"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2">
        <v>18.95</v>
      </c>
      <c r="E77" s="2">
        <v>200</v>
      </c>
      <c r="F77" s="6" t="s">
        <v>260</v>
      </c>
      <c r="G77" s="7">
        <f t="shared" si="2"/>
        <v>94.75</v>
      </c>
      <c r="H77" s="2"/>
      <c r="I77" s="2" t="s">
        <v>162</v>
      </c>
      <c r="J77" s="2" t="b">
        <v>1</v>
      </c>
      <c r="K77" s="2" t="b">
        <v>0</v>
      </c>
    </row>
    <row r="78" spans="1:11" x14ac:dyDescent="0.3">
      <c r="A78" s="2" t="s">
        <v>9</v>
      </c>
      <c r="B78" s="2" t="s">
        <v>163</v>
      </c>
      <c r="C78" s="2" t="s">
        <v>164</v>
      </c>
      <c r="D78" s="2">
        <v>13.5</v>
      </c>
      <c r="E78" s="2">
        <v>200</v>
      </c>
      <c r="F78" s="6" t="s">
        <v>260</v>
      </c>
      <c r="G78" s="7">
        <f t="shared" si="2"/>
        <v>67.5</v>
      </c>
      <c r="H78" s="2"/>
      <c r="I78" s="2" t="s">
        <v>12</v>
      </c>
      <c r="J78" s="2" t="b">
        <v>1</v>
      </c>
      <c r="K78" s="2" t="b">
        <v>0</v>
      </c>
    </row>
    <row r="79" spans="1:11" x14ac:dyDescent="0.3">
      <c r="A79" s="2" t="s">
        <v>9</v>
      </c>
      <c r="B79" s="2" t="s">
        <v>165</v>
      </c>
      <c r="C79" s="2" t="s">
        <v>166</v>
      </c>
      <c r="D79" s="2">
        <v>27.44</v>
      </c>
      <c r="E79" s="2">
        <v>500</v>
      </c>
      <c r="F79" s="6" t="s">
        <v>262</v>
      </c>
      <c r="G79" s="7">
        <f t="shared" si="2"/>
        <v>54.88</v>
      </c>
      <c r="H79" s="2"/>
      <c r="I79" s="2" t="s">
        <v>167</v>
      </c>
      <c r="J79" s="2" t="b">
        <v>1</v>
      </c>
      <c r="K79" s="2" t="b">
        <v>0</v>
      </c>
    </row>
    <row r="80" spans="1:11" x14ac:dyDescent="0.3">
      <c r="A80" s="2" t="s">
        <v>9</v>
      </c>
      <c r="B80" s="2" t="s">
        <v>165</v>
      </c>
      <c r="C80" s="2" t="s">
        <v>168</v>
      </c>
      <c r="D80" s="2">
        <v>17.5</v>
      </c>
      <c r="E80" s="2">
        <v>300</v>
      </c>
      <c r="F80" s="6" t="s">
        <v>262</v>
      </c>
      <c r="G80" s="7">
        <f t="shared" si="2"/>
        <v>58.333333333333336</v>
      </c>
      <c r="H80" s="2"/>
      <c r="I80" s="2" t="s">
        <v>159</v>
      </c>
      <c r="J80" s="2" t="b">
        <v>1</v>
      </c>
      <c r="K80" s="2" t="b">
        <v>0</v>
      </c>
    </row>
    <row r="81" spans="1:11" x14ac:dyDescent="0.3">
      <c r="A81" s="2" t="s">
        <v>9</v>
      </c>
      <c r="B81" s="2" t="s">
        <v>169</v>
      </c>
      <c r="C81" s="2" t="s">
        <v>170</v>
      </c>
      <c r="D81" s="2">
        <v>8</v>
      </c>
      <c r="E81" s="2">
        <v>330</v>
      </c>
      <c r="F81" s="6" t="s">
        <v>262</v>
      </c>
      <c r="G81" s="7">
        <f t="shared" si="2"/>
        <v>24.242424242424242</v>
      </c>
      <c r="H81" s="2"/>
      <c r="I81" s="2" t="s">
        <v>171</v>
      </c>
      <c r="J81" s="2" t="b">
        <v>1</v>
      </c>
      <c r="K81" s="2" t="b">
        <v>1</v>
      </c>
    </row>
    <row r="82" spans="1:11" x14ac:dyDescent="0.3">
      <c r="A82" s="2" t="s">
        <v>9</v>
      </c>
      <c r="B82" s="2" t="s">
        <v>172</v>
      </c>
      <c r="C82" s="2" t="s">
        <v>173</v>
      </c>
      <c r="D82" s="2">
        <v>25</v>
      </c>
      <c r="E82" s="2">
        <v>1000</v>
      </c>
      <c r="F82" s="6" t="s">
        <v>260</v>
      </c>
      <c r="G82" s="7">
        <f t="shared" si="2"/>
        <v>25</v>
      </c>
      <c r="H82" s="2"/>
      <c r="I82" s="2" t="s">
        <v>174</v>
      </c>
      <c r="J82" s="2" t="b">
        <v>1</v>
      </c>
      <c r="K82" s="2" t="b">
        <v>1</v>
      </c>
    </row>
    <row r="83" spans="1:11" x14ac:dyDescent="0.3">
      <c r="A83" s="2" t="s">
        <v>9</v>
      </c>
      <c r="B83" s="2" t="s">
        <v>172</v>
      </c>
      <c r="C83" s="2" t="s">
        <v>175</v>
      </c>
      <c r="D83" s="2">
        <v>17.95</v>
      </c>
      <c r="E83" s="2">
        <v>400</v>
      </c>
      <c r="F83" s="6" t="s">
        <v>260</v>
      </c>
      <c r="G83" s="7">
        <f t="shared" si="2"/>
        <v>44.875</v>
      </c>
      <c r="H83" s="2"/>
      <c r="I83" s="2" t="s">
        <v>174</v>
      </c>
      <c r="J83" s="2" t="b">
        <v>1</v>
      </c>
      <c r="K83" s="2" t="b">
        <v>1</v>
      </c>
    </row>
    <row r="84" spans="1:11" x14ac:dyDescent="0.3">
      <c r="A84" s="2" t="s">
        <v>9</v>
      </c>
      <c r="B84" s="2" t="s">
        <v>176</v>
      </c>
      <c r="C84" s="2" t="s">
        <v>177</v>
      </c>
      <c r="D84" s="2">
        <v>14.5</v>
      </c>
      <c r="E84" s="2">
        <v>1000</v>
      </c>
      <c r="F84" s="6" t="s">
        <v>262</v>
      </c>
      <c r="G84" s="7">
        <f t="shared" si="2"/>
        <v>14.5</v>
      </c>
      <c r="H84" s="2"/>
      <c r="I84" s="2" t="s">
        <v>178</v>
      </c>
      <c r="J84" s="2" t="b">
        <v>1</v>
      </c>
      <c r="K84" s="2" t="b">
        <v>0</v>
      </c>
    </row>
    <row r="85" spans="1:11" x14ac:dyDescent="0.3">
      <c r="A85" s="2" t="s">
        <v>9</v>
      </c>
      <c r="B85" s="2" t="s">
        <v>179</v>
      </c>
      <c r="C85" s="2" t="s">
        <v>180</v>
      </c>
      <c r="D85" s="2">
        <v>8.75</v>
      </c>
      <c r="E85" s="2">
        <v>125</v>
      </c>
      <c r="F85" s="6" t="s">
        <v>260</v>
      </c>
      <c r="G85" s="7">
        <f t="shared" si="2"/>
        <v>70</v>
      </c>
      <c r="H85" s="2"/>
      <c r="I85" s="2" t="s">
        <v>181</v>
      </c>
      <c r="J85" s="2" t="b">
        <v>1</v>
      </c>
      <c r="K85" s="2" t="b">
        <v>0</v>
      </c>
    </row>
    <row r="86" spans="1:11" x14ac:dyDescent="0.3">
      <c r="A86" s="2" t="s">
        <v>9</v>
      </c>
      <c r="B86" s="2" t="s">
        <v>179</v>
      </c>
      <c r="C86" s="2" t="s">
        <v>182</v>
      </c>
      <c r="D86" s="2">
        <v>19.95</v>
      </c>
      <c r="E86" s="2">
        <v>200</v>
      </c>
      <c r="F86" s="6" t="s">
        <v>260</v>
      </c>
      <c r="G86" s="7">
        <f t="shared" si="2"/>
        <v>99.749999999999986</v>
      </c>
      <c r="H86" s="2"/>
      <c r="I86" s="2" t="s">
        <v>12</v>
      </c>
      <c r="J86" s="2" t="b">
        <v>1</v>
      </c>
      <c r="K86" s="2" t="b">
        <v>0</v>
      </c>
    </row>
    <row r="87" spans="1:11" x14ac:dyDescent="0.3">
      <c r="A87" s="2" t="s">
        <v>9</v>
      </c>
      <c r="B87" s="2" t="s">
        <v>183</v>
      </c>
      <c r="C87" s="2" t="s">
        <v>184</v>
      </c>
      <c r="D87" s="2">
        <v>14.95</v>
      </c>
      <c r="E87" s="2">
        <v>150</v>
      </c>
      <c r="F87" s="6" t="s">
        <v>260</v>
      </c>
      <c r="G87" s="7">
        <f t="shared" si="2"/>
        <v>99.666666666666671</v>
      </c>
      <c r="H87" s="2"/>
      <c r="I87" s="2" t="s">
        <v>12</v>
      </c>
      <c r="J87" s="2" t="b">
        <v>1</v>
      </c>
      <c r="K87" s="2" t="b">
        <v>0</v>
      </c>
    </row>
    <row r="88" spans="1:11" x14ac:dyDescent="0.3">
      <c r="A88" s="2" t="s">
        <v>9</v>
      </c>
      <c r="B88" s="2" t="s">
        <v>183</v>
      </c>
      <c r="C88" s="2" t="s">
        <v>185</v>
      </c>
      <c r="D88" s="2">
        <v>24.95</v>
      </c>
      <c r="E88" s="2">
        <v>200</v>
      </c>
      <c r="F88" s="6" t="s">
        <v>260</v>
      </c>
      <c r="G88" s="7">
        <f t="shared" si="2"/>
        <v>124.75</v>
      </c>
      <c r="H88" s="2"/>
      <c r="I88" s="2" t="s">
        <v>12</v>
      </c>
      <c r="J88" s="5" t="s">
        <v>186</v>
      </c>
      <c r="K88" s="2" t="b">
        <v>0</v>
      </c>
    </row>
    <row r="89" spans="1:11" x14ac:dyDescent="0.3">
      <c r="A89" s="2" t="s">
        <v>9</v>
      </c>
      <c r="B89" s="2" t="s">
        <v>187</v>
      </c>
      <c r="C89" s="2" t="s">
        <v>188</v>
      </c>
      <c r="D89" s="2">
        <v>27.5</v>
      </c>
      <c r="E89" s="2">
        <v>500</v>
      </c>
      <c r="F89" s="6" t="s">
        <v>262</v>
      </c>
      <c r="G89" s="7">
        <f t="shared" si="2"/>
        <v>55</v>
      </c>
      <c r="H89" s="2"/>
      <c r="I89" s="2" t="s">
        <v>12</v>
      </c>
      <c r="J89" s="5" t="s">
        <v>186</v>
      </c>
      <c r="K89" s="2" t="b">
        <v>0</v>
      </c>
    </row>
    <row r="90" spans="1:11" x14ac:dyDescent="0.3">
      <c r="A90" s="2" t="s">
        <v>9</v>
      </c>
      <c r="B90" s="2" t="s">
        <v>187</v>
      </c>
      <c r="C90" s="2" t="s">
        <v>188</v>
      </c>
      <c r="D90" s="2">
        <v>16.25</v>
      </c>
      <c r="E90" s="2">
        <v>250</v>
      </c>
      <c r="F90" s="6" t="s">
        <v>262</v>
      </c>
      <c r="G90" s="7">
        <f t="shared" si="2"/>
        <v>65</v>
      </c>
      <c r="H90" s="2"/>
      <c r="I90" s="2" t="s">
        <v>167</v>
      </c>
      <c r="J90" s="5" t="s">
        <v>186</v>
      </c>
      <c r="K90" s="2" t="b">
        <v>0</v>
      </c>
    </row>
    <row r="91" spans="1:11" x14ac:dyDescent="0.3">
      <c r="A91" s="2" t="s">
        <v>9</v>
      </c>
      <c r="B91" s="2" t="s">
        <v>189</v>
      </c>
      <c r="C91" s="2" t="s">
        <v>190</v>
      </c>
      <c r="D91" s="2">
        <v>10.95</v>
      </c>
      <c r="E91" s="2">
        <v>1000</v>
      </c>
      <c r="F91" s="6" t="s">
        <v>262</v>
      </c>
      <c r="G91" s="7">
        <f t="shared" si="2"/>
        <v>10.95</v>
      </c>
      <c r="H91" s="2"/>
      <c r="I91" s="2" t="s">
        <v>12</v>
      </c>
      <c r="J91" s="5" t="s">
        <v>186</v>
      </c>
      <c r="K91" s="2" t="b">
        <v>0</v>
      </c>
    </row>
    <row r="92" spans="1:11" x14ac:dyDescent="0.3">
      <c r="A92" s="2" t="s">
        <v>9</v>
      </c>
      <c r="B92" s="2" t="s">
        <v>191</v>
      </c>
      <c r="C92" s="2" t="s">
        <v>192</v>
      </c>
      <c r="D92" s="2">
        <v>10.5</v>
      </c>
      <c r="E92" s="2">
        <v>1000</v>
      </c>
      <c r="F92" s="6" t="s">
        <v>262</v>
      </c>
      <c r="G92" s="7">
        <f t="shared" si="2"/>
        <v>10.5</v>
      </c>
      <c r="H92" s="2"/>
      <c r="I92" s="2" t="s">
        <v>12</v>
      </c>
      <c r="J92" s="5" t="s">
        <v>186</v>
      </c>
      <c r="K92" s="2" t="b">
        <v>0</v>
      </c>
    </row>
    <row r="93" spans="1:11" x14ac:dyDescent="0.3">
      <c r="A93" s="2" t="s">
        <v>9</v>
      </c>
      <c r="B93" s="2" t="s">
        <v>193</v>
      </c>
      <c r="C93" s="2" t="s">
        <v>194</v>
      </c>
      <c r="D93" s="2">
        <v>19.95</v>
      </c>
      <c r="E93" s="2">
        <v>500</v>
      </c>
      <c r="F93" s="6" t="s">
        <v>262</v>
      </c>
      <c r="G93" s="7">
        <f t="shared" si="2"/>
        <v>39.9</v>
      </c>
      <c r="H93" s="2"/>
      <c r="I93" s="2" t="s">
        <v>12</v>
      </c>
      <c r="J93" s="5" t="s">
        <v>186</v>
      </c>
      <c r="K93" s="2" t="b">
        <v>0</v>
      </c>
    </row>
    <row r="94" spans="1:11" x14ac:dyDescent="0.3">
      <c r="A94" s="2" t="s">
        <v>9</v>
      </c>
      <c r="B94" s="2" t="s">
        <v>193</v>
      </c>
      <c r="C94" s="2" t="s">
        <v>194</v>
      </c>
      <c r="D94" s="2">
        <v>14.25</v>
      </c>
      <c r="E94" s="2">
        <v>250</v>
      </c>
      <c r="F94" s="6" t="s">
        <v>262</v>
      </c>
      <c r="G94" s="7">
        <f t="shared" si="2"/>
        <v>57</v>
      </c>
      <c r="H94" s="2"/>
      <c r="I94" s="2" t="s">
        <v>167</v>
      </c>
      <c r="J94" s="5" t="s">
        <v>186</v>
      </c>
      <c r="K94" s="2" t="b">
        <v>0</v>
      </c>
    </row>
    <row r="95" spans="1:11" x14ac:dyDescent="0.3">
      <c r="A95" s="2" t="s">
        <v>9</v>
      </c>
      <c r="B95" s="2" t="s">
        <v>195</v>
      </c>
      <c r="C95" s="2" t="s">
        <v>196</v>
      </c>
      <c r="D95" s="2">
        <v>11.95</v>
      </c>
      <c r="E95" s="2">
        <v>175</v>
      </c>
      <c r="F95" s="6" t="s">
        <v>260</v>
      </c>
      <c r="G95" s="7">
        <f t="shared" si="2"/>
        <v>68.285714285714278</v>
      </c>
      <c r="H95" s="2"/>
      <c r="I95" s="2" t="s">
        <v>12</v>
      </c>
      <c r="J95" s="5" t="s">
        <v>186</v>
      </c>
      <c r="K95" s="2" t="b">
        <v>0</v>
      </c>
    </row>
    <row r="96" spans="1:11" x14ac:dyDescent="0.3">
      <c r="A96" s="2" t="s">
        <v>9</v>
      </c>
      <c r="B96" s="2" t="s">
        <v>197</v>
      </c>
      <c r="C96" s="2" t="s">
        <v>198</v>
      </c>
      <c r="D96" s="2">
        <v>10.95</v>
      </c>
      <c r="E96" s="2">
        <v>400</v>
      </c>
      <c r="F96" s="6" t="s">
        <v>260</v>
      </c>
      <c r="G96" s="7">
        <f t="shared" si="2"/>
        <v>27.374999999999996</v>
      </c>
      <c r="H96" s="2"/>
      <c r="I96" s="2" t="s">
        <v>12</v>
      </c>
      <c r="J96" s="5" t="s">
        <v>186</v>
      </c>
      <c r="K96" s="2" t="b">
        <v>0</v>
      </c>
    </row>
    <row r="97" spans="1:11" x14ac:dyDescent="0.3">
      <c r="A97" s="2" t="s">
        <v>9</v>
      </c>
      <c r="B97" s="2" t="s">
        <v>199</v>
      </c>
      <c r="C97" s="2" t="s">
        <v>200</v>
      </c>
      <c r="D97" s="2">
        <v>15</v>
      </c>
      <c r="E97" s="2">
        <v>330</v>
      </c>
      <c r="F97" s="6" t="s">
        <v>260</v>
      </c>
      <c r="G97" s="7">
        <f t="shared" si="2"/>
        <v>45.454545454545453</v>
      </c>
      <c r="H97" s="2"/>
      <c r="I97" s="2" t="s">
        <v>12</v>
      </c>
      <c r="J97" s="5" t="s">
        <v>186</v>
      </c>
      <c r="K97" s="2" t="b">
        <v>0</v>
      </c>
    </row>
    <row r="98" spans="1:11" x14ac:dyDescent="0.3">
      <c r="A98" s="2" t="s">
        <v>9</v>
      </c>
      <c r="B98" s="2" t="s">
        <v>201</v>
      </c>
      <c r="C98" s="2" t="s">
        <v>202</v>
      </c>
      <c r="D98" s="2">
        <v>13.43</v>
      </c>
      <c r="E98" s="2">
        <v>400</v>
      </c>
      <c r="F98" s="6" t="s">
        <v>260</v>
      </c>
      <c r="G98" s="7">
        <f t="shared" si="2"/>
        <v>33.575000000000003</v>
      </c>
      <c r="H98" s="2"/>
      <c r="I98" s="2" t="s">
        <v>12</v>
      </c>
      <c r="J98" s="5" t="s">
        <v>186</v>
      </c>
      <c r="K98" s="2" t="b">
        <v>0</v>
      </c>
    </row>
    <row r="99" spans="1:11" x14ac:dyDescent="0.3">
      <c r="A99" s="2" t="s">
        <v>9</v>
      </c>
      <c r="B99" s="2" t="s">
        <v>203</v>
      </c>
      <c r="C99" s="2" t="s">
        <v>204</v>
      </c>
      <c r="D99" s="2">
        <v>18.03</v>
      </c>
      <c r="E99" s="2">
        <v>370</v>
      </c>
      <c r="F99" s="6" t="s">
        <v>260</v>
      </c>
      <c r="G99" s="7">
        <f t="shared" si="2"/>
        <v>48.729729729729733</v>
      </c>
      <c r="H99" s="2"/>
      <c r="I99" s="2" t="s">
        <v>68</v>
      </c>
      <c r="J99" s="5" t="s">
        <v>186</v>
      </c>
      <c r="K99" s="2" t="b">
        <v>0</v>
      </c>
    </row>
    <row r="100" spans="1:11" x14ac:dyDescent="0.3">
      <c r="A100" s="2" t="s">
        <v>9</v>
      </c>
      <c r="B100" s="2" t="s">
        <v>205</v>
      </c>
      <c r="C100" s="2" t="s">
        <v>206</v>
      </c>
      <c r="D100" s="2">
        <v>5.75</v>
      </c>
      <c r="E100" s="2">
        <v>500</v>
      </c>
      <c r="F100" s="6" t="s">
        <v>260</v>
      </c>
      <c r="G100" s="7">
        <f t="shared" si="2"/>
        <v>11.5</v>
      </c>
      <c r="H100" s="2"/>
      <c r="I100" s="2" t="s">
        <v>12</v>
      </c>
      <c r="J100" s="5" t="s">
        <v>186</v>
      </c>
      <c r="K100" s="2" t="b">
        <v>0</v>
      </c>
    </row>
    <row r="101" spans="1:11" x14ac:dyDescent="0.3">
      <c r="A101" s="2" t="s">
        <v>9</v>
      </c>
      <c r="B101" s="2" t="s">
        <v>207</v>
      </c>
      <c r="C101" s="2" t="s">
        <v>208</v>
      </c>
      <c r="D101" s="2">
        <v>15.96</v>
      </c>
      <c r="E101" s="2">
        <v>400</v>
      </c>
      <c r="F101" s="6" t="s">
        <v>260</v>
      </c>
      <c r="G101" s="7">
        <f t="shared" si="2"/>
        <v>39.900000000000006</v>
      </c>
      <c r="H101" s="2"/>
      <c r="I101" s="2" t="s">
        <v>12</v>
      </c>
      <c r="J101" s="5" t="s">
        <v>186</v>
      </c>
      <c r="K101" s="2" t="b">
        <v>0</v>
      </c>
    </row>
    <row r="102" spans="1:11" x14ac:dyDescent="0.3">
      <c r="A102" s="2" t="s">
        <v>9</v>
      </c>
      <c r="B102" s="2" t="s">
        <v>209</v>
      </c>
      <c r="C102" s="2" t="s">
        <v>210</v>
      </c>
      <c r="D102" s="2">
        <v>16.52</v>
      </c>
      <c r="E102" s="2">
        <v>1000</v>
      </c>
      <c r="F102" s="6" t="s">
        <v>260</v>
      </c>
      <c r="G102" s="7">
        <f t="shared" si="2"/>
        <v>16.52</v>
      </c>
      <c r="H102" s="2"/>
      <c r="I102" s="2" t="s">
        <v>108</v>
      </c>
      <c r="J102" s="5" t="s">
        <v>186</v>
      </c>
      <c r="K102" s="2" t="b">
        <v>0</v>
      </c>
    </row>
    <row r="103" spans="1:11" x14ac:dyDescent="0.3">
      <c r="A103" s="2" t="s">
        <v>9</v>
      </c>
      <c r="B103" s="2" t="s">
        <v>211</v>
      </c>
      <c r="C103" s="2" t="s">
        <v>212</v>
      </c>
      <c r="D103" s="2">
        <v>18.95</v>
      </c>
      <c r="E103" s="2">
        <v>1000</v>
      </c>
      <c r="F103" s="6" t="s">
        <v>260</v>
      </c>
      <c r="G103" s="7">
        <f t="shared" si="2"/>
        <v>18.95</v>
      </c>
      <c r="H103" s="2"/>
      <c r="I103" s="2" t="s">
        <v>108</v>
      </c>
      <c r="J103" s="5" t="s">
        <v>186</v>
      </c>
      <c r="K103" s="2" t="b">
        <v>0</v>
      </c>
    </row>
    <row r="104" spans="1:11" x14ac:dyDescent="0.3">
      <c r="A104" s="2" t="s">
        <v>9</v>
      </c>
      <c r="B104" s="2" t="s">
        <v>213</v>
      </c>
      <c r="C104" s="2" t="s">
        <v>214</v>
      </c>
      <c r="D104" s="2">
        <v>12.29</v>
      </c>
      <c r="E104" s="2">
        <v>100</v>
      </c>
      <c r="F104" s="6" t="s">
        <v>260</v>
      </c>
      <c r="G104" s="7">
        <f t="shared" si="2"/>
        <v>122.89999999999999</v>
      </c>
      <c r="H104" s="2"/>
      <c r="I104" s="2" t="s">
        <v>12</v>
      </c>
      <c r="J104" s="5" t="s">
        <v>186</v>
      </c>
      <c r="K104" s="2" t="b">
        <v>0</v>
      </c>
    </row>
    <row r="105" spans="1:11" x14ac:dyDescent="0.3">
      <c r="A105" s="2" t="s">
        <v>9</v>
      </c>
      <c r="B105" s="2" t="s">
        <v>213</v>
      </c>
      <c r="C105" s="2" t="s">
        <v>214</v>
      </c>
      <c r="D105" s="2">
        <v>27.24</v>
      </c>
      <c r="E105" s="2">
        <v>500</v>
      </c>
      <c r="F105" s="6" t="s">
        <v>260</v>
      </c>
      <c r="G105" s="7">
        <f t="shared" si="2"/>
        <v>54.48</v>
      </c>
      <c r="H105" s="2"/>
      <c r="I105" s="2" t="s">
        <v>215</v>
      </c>
      <c r="J105" s="5" t="s">
        <v>186</v>
      </c>
      <c r="K105" s="2" t="b">
        <v>0</v>
      </c>
    </row>
    <row r="106" spans="1:11" x14ac:dyDescent="0.3">
      <c r="A106" s="2" t="s">
        <v>9</v>
      </c>
      <c r="B106" s="2" t="s">
        <v>216</v>
      </c>
      <c r="C106" s="2" t="s">
        <v>217</v>
      </c>
      <c r="D106" s="2">
        <v>26.5</v>
      </c>
      <c r="E106" s="2">
        <v>250</v>
      </c>
      <c r="F106" s="6" t="s">
        <v>260</v>
      </c>
      <c r="G106" s="7">
        <f t="shared" si="2"/>
        <v>106</v>
      </c>
      <c r="H106" s="2"/>
      <c r="I106" s="2" t="s">
        <v>218</v>
      </c>
      <c r="J106" s="5" t="s">
        <v>186</v>
      </c>
      <c r="K106" s="2" t="b">
        <v>0</v>
      </c>
    </row>
    <row r="107" spans="1:11" x14ac:dyDescent="0.3">
      <c r="A107" s="2" t="s">
        <v>9</v>
      </c>
      <c r="B107" s="2" t="s">
        <v>219</v>
      </c>
      <c r="C107" s="2" t="s">
        <v>220</v>
      </c>
      <c r="D107" s="2">
        <v>10.95</v>
      </c>
      <c r="E107" s="2">
        <v>200</v>
      </c>
      <c r="F107" s="6" t="s">
        <v>260</v>
      </c>
      <c r="G107" s="7">
        <f t="shared" si="2"/>
        <v>54.749999999999993</v>
      </c>
      <c r="H107" s="2"/>
      <c r="I107" s="2" t="s">
        <v>12</v>
      </c>
      <c r="J107" s="2" t="b">
        <v>1</v>
      </c>
      <c r="K107" s="2" t="b">
        <v>0</v>
      </c>
    </row>
    <row r="108" spans="1:11" x14ac:dyDescent="0.3">
      <c r="A108" s="2" t="s">
        <v>9</v>
      </c>
      <c r="B108" s="2" t="s">
        <v>221</v>
      </c>
      <c r="C108" s="2" t="s">
        <v>222</v>
      </c>
      <c r="D108" s="2">
        <v>4.9800000000000004</v>
      </c>
      <c r="E108" s="2">
        <v>500</v>
      </c>
      <c r="F108" s="6" t="s">
        <v>260</v>
      </c>
      <c r="G108" s="7">
        <f t="shared" si="2"/>
        <v>9.9600000000000009</v>
      </c>
      <c r="H108" s="2"/>
      <c r="I108" s="2" t="s">
        <v>108</v>
      </c>
      <c r="J108" s="5" t="s">
        <v>186</v>
      </c>
      <c r="K108" s="2" t="b">
        <v>0</v>
      </c>
    </row>
    <row r="109" spans="1:11" x14ac:dyDescent="0.3">
      <c r="A109" s="2" t="s">
        <v>9</v>
      </c>
      <c r="B109" s="2" t="s">
        <v>223</v>
      </c>
      <c r="C109" s="2" t="s">
        <v>224</v>
      </c>
      <c r="D109" s="2">
        <v>7.66</v>
      </c>
      <c r="E109" s="2">
        <v>500</v>
      </c>
      <c r="F109" s="6" t="s">
        <v>260</v>
      </c>
      <c r="G109" s="7">
        <f t="shared" si="2"/>
        <v>15.32</v>
      </c>
      <c r="H109" s="2"/>
      <c r="I109" s="2" t="s">
        <v>108</v>
      </c>
      <c r="J109" s="5" t="s">
        <v>186</v>
      </c>
      <c r="K109" s="2" t="b">
        <v>0</v>
      </c>
    </row>
    <row r="110" spans="1:11" x14ac:dyDescent="0.3">
      <c r="A110" s="2" t="s">
        <v>9</v>
      </c>
      <c r="B110" s="2" t="s">
        <v>225</v>
      </c>
      <c r="C110" s="2" t="s">
        <v>226</v>
      </c>
      <c r="D110" s="2">
        <v>6.37</v>
      </c>
      <c r="E110" s="2">
        <v>400</v>
      </c>
      <c r="F110" s="6" t="s">
        <v>260</v>
      </c>
      <c r="G110" s="7">
        <f t="shared" si="2"/>
        <v>15.925000000000002</v>
      </c>
      <c r="H110" s="2"/>
      <c r="I110" s="2" t="s">
        <v>108</v>
      </c>
      <c r="J110" s="5" t="s">
        <v>186</v>
      </c>
      <c r="K110" s="2" t="b">
        <v>0</v>
      </c>
    </row>
    <row r="111" spans="1:11" x14ac:dyDescent="0.3">
      <c r="A111" s="2" t="s">
        <v>9</v>
      </c>
      <c r="B111" s="2" t="s">
        <v>227</v>
      </c>
      <c r="C111" s="2" t="s">
        <v>228</v>
      </c>
      <c r="D111" s="2">
        <v>8.9499999999999993</v>
      </c>
      <c r="E111" s="2">
        <v>400</v>
      </c>
      <c r="F111" s="6" t="s">
        <v>262</v>
      </c>
      <c r="G111" s="7">
        <f t="shared" si="2"/>
        <v>22.375</v>
      </c>
      <c r="H111" s="2"/>
      <c r="I111" s="2" t="s">
        <v>229</v>
      </c>
      <c r="J111" s="5" t="s">
        <v>186</v>
      </c>
      <c r="K111" s="2" t="b"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2">
        <v>6.1</v>
      </c>
      <c r="E112" s="2">
        <v>140</v>
      </c>
      <c r="F112" s="6" t="s">
        <v>260</v>
      </c>
      <c r="G112" s="7">
        <f t="shared" si="2"/>
        <v>43.571428571428569</v>
      </c>
      <c r="H112" s="2"/>
      <c r="I112" s="2" t="s">
        <v>12</v>
      </c>
      <c r="J112" s="5" t="s">
        <v>186</v>
      </c>
      <c r="K112" s="2" t="b">
        <v>0</v>
      </c>
    </row>
    <row r="113" spans="1:11" x14ac:dyDescent="0.3">
      <c r="A113" s="2" t="s">
        <v>9</v>
      </c>
      <c r="B113" s="2" t="s">
        <v>232</v>
      </c>
      <c r="C113" s="2" t="s">
        <v>275</v>
      </c>
      <c r="D113" s="2">
        <v>7.91</v>
      </c>
      <c r="E113" s="2">
        <v>285</v>
      </c>
      <c r="F113" s="6" t="s">
        <v>260</v>
      </c>
      <c r="G113" s="7">
        <f t="shared" si="2"/>
        <v>27.754385964912281</v>
      </c>
      <c r="H113" s="2"/>
      <c r="I113" s="2" t="s">
        <v>12</v>
      </c>
      <c r="J113" s="5" t="s">
        <v>186</v>
      </c>
      <c r="K113" s="2" t="b">
        <v>0</v>
      </c>
    </row>
    <row r="114" spans="1:11" x14ac:dyDescent="0.3">
      <c r="A114" s="2" t="s">
        <v>9</v>
      </c>
      <c r="B114" s="2" t="s">
        <v>233</v>
      </c>
      <c r="C114" s="2" t="s">
        <v>234</v>
      </c>
      <c r="D114" s="2">
        <v>8.9499999999999993</v>
      </c>
      <c r="E114" s="2">
        <v>1000</v>
      </c>
      <c r="F114" s="6" t="s">
        <v>260</v>
      </c>
      <c r="G114" s="7">
        <f t="shared" si="2"/>
        <v>8.9499999999999993</v>
      </c>
      <c r="H114" s="2"/>
      <c r="I114" s="2" t="s">
        <v>12</v>
      </c>
      <c r="J114" s="5" t="s">
        <v>186</v>
      </c>
      <c r="K114" s="2" t="b">
        <v>0</v>
      </c>
    </row>
    <row r="115" spans="1:11" x14ac:dyDescent="0.3">
      <c r="A115" s="2" t="s">
        <v>9</v>
      </c>
      <c r="B115" s="2" t="s">
        <v>235</v>
      </c>
      <c r="C115" s="2" t="s">
        <v>236</v>
      </c>
      <c r="D115" s="2">
        <v>11.5</v>
      </c>
      <c r="E115" s="2">
        <v>190</v>
      </c>
      <c r="F115" s="6" t="s">
        <v>260</v>
      </c>
      <c r="G115" s="7">
        <f t="shared" si="2"/>
        <v>60.526315789473685</v>
      </c>
      <c r="H115" s="2"/>
      <c r="I115" s="2" t="s">
        <v>12</v>
      </c>
      <c r="J115" s="5" t="s">
        <v>186</v>
      </c>
      <c r="K115" s="2" t="b">
        <v>0</v>
      </c>
    </row>
    <row r="116" spans="1:11" x14ac:dyDescent="0.3">
      <c r="A116" s="2" t="s">
        <v>9</v>
      </c>
      <c r="B116" s="2" t="s">
        <v>237</v>
      </c>
      <c r="C116" s="2" t="s">
        <v>238</v>
      </c>
      <c r="D116" s="2">
        <v>11.5</v>
      </c>
      <c r="E116" s="2">
        <v>190</v>
      </c>
      <c r="F116" s="6" t="s">
        <v>260</v>
      </c>
      <c r="G116" s="7">
        <f t="shared" si="2"/>
        <v>60.526315789473685</v>
      </c>
      <c r="H116" s="2"/>
      <c r="I116" s="2" t="s">
        <v>12</v>
      </c>
      <c r="J116" s="5" t="s">
        <v>186</v>
      </c>
      <c r="K116" s="2" t="b">
        <v>0</v>
      </c>
    </row>
    <row r="117" spans="1:11" x14ac:dyDescent="0.3">
      <c r="A117" s="2" t="s">
        <v>9</v>
      </c>
      <c r="B117" s="2" t="s">
        <v>239</v>
      </c>
      <c r="C117" s="2" t="s">
        <v>240</v>
      </c>
      <c r="D117" s="2">
        <v>19.95</v>
      </c>
      <c r="E117" s="2">
        <v>200</v>
      </c>
      <c r="F117" s="6" t="s">
        <v>260</v>
      </c>
      <c r="G117" s="7">
        <f t="shared" si="2"/>
        <v>99.749999999999986</v>
      </c>
      <c r="H117" s="2"/>
      <c r="I117" s="2" t="s">
        <v>12</v>
      </c>
      <c r="J117" s="5" t="s">
        <v>186</v>
      </c>
      <c r="K117" s="2" t="b">
        <v>0</v>
      </c>
    </row>
    <row r="118" spans="1:11" x14ac:dyDescent="0.3">
      <c r="A118" s="2" t="s">
        <v>9</v>
      </c>
      <c r="B118" s="2" t="s">
        <v>241</v>
      </c>
      <c r="C118" s="2" t="s">
        <v>242</v>
      </c>
      <c r="D118" s="2">
        <v>6.95</v>
      </c>
      <c r="E118" s="2">
        <v>240</v>
      </c>
      <c r="F118" s="6" t="s">
        <v>260</v>
      </c>
      <c r="G118" s="7">
        <f t="shared" si="2"/>
        <v>28.958333333333332</v>
      </c>
      <c r="H118" s="2"/>
      <c r="I118" s="2" t="s">
        <v>12</v>
      </c>
      <c r="J118" s="5" t="s">
        <v>186</v>
      </c>
      <c r="K118" s="2" t="b">
        <v>0</v>
      </c>
    </row>
    <row r="119" spans="1:11" x14ac:dyDescent="0.3">
      <c r="A119" s="2" t="s">
        <v>9</v>
      </c>
      <c r="B119" s="2" t="s">
        <v>243</v>
      </c>
      <c r="C119" s="2" t="s">
        <v>244</v>
      </c>
      <c r="D119" s="2">
        <v>6.85</v>
      </c>
      <c r="E119" s="2">
        <v>240</v>
      </c>
      <c r="F119" s="6" t="s">
        <v>260</v>
      </c>
      <c r="G119" s="7">
        <f t="shared" si="2"/>
        <v>28.541666666666668</v>
      </c>
      <c r="H119" s="2"/>
      <c r="I119" s="2" t="s">
        <v>12</v>
      </c>
      <c r="J119" s="5" t="s">
        <v>186</v>
      </c>
      <c r="K119" s="2" t="b">
        <v>0</v>
      </c>
    </row>
    <row r="120" spans="1:11" x14ac:dyDescent="0.3">
      <c r="A120" s="2" t="s">
        <v>9</v>
      </c>
      <c r="B120" s="2" t="s">
        <v>245</v>
      </c>
      <c r="C120" s="2" t="s">
        <v>246</v>
      </c>
      <c r="D120" s="2">
        <v>7.15</v>
      </c>
      <c r="E120" s="2">
        <v>240</v>
      </c>
      <c r="F120" s="6" t="s">
        <v>260</v>
      </c>
      <c r="G120" s="7">
        <f t="shared" si="2"/>
        <v>29.791666666666668</v>
      </c>
      <c r="H120" s="2"/>
      <c r="I120" s="2" t="s">
        <v>12</v>
      </c>
      <c r="J120" s="5" t="s">
        <v>186</v>
      </c>
      <c r="K120" s="2" t="b">
        <v>0</v>
      </c>
    </row>
    <row r="121" spans="1:11" x14ac:dyDescent="0.3">
      <c r="A121" s="2" t="s">
        <v>9</v>
      </c>
      <c r="B121" s="2" t="s">
        <v>247</v>
      </c>
      <c r="C121" s="2" t="s">
        <v>248</v>
      </c>
      <c r="D121" s="2">
        <v>16.5</v>
      </c>
      <c r="E121" s="2">
        <v>180</v>
      </c>
      <c r="F121" s="6" t="s">
        <v>260</v>
      </c>
      <c r="G121" s="7">
        <f t="shared" si="2"/>
        <v>91.666666666666657</v>
      </c>
      <c r="H121" s="2"/>
      <c r="I121" s="2" t="s">
        <v>249</v>
      </c>
      <c r="J121" s="5" t="s">
        <v>186</v>
      </c>
      <c r="K121" s="2" t="b">
        <v>0</v>
      </c>
    </row>
    <row r="122" spans="1:11" x14ac:dyDescent="0.3">
      <c r="A122" s="2" t="s">
        <v>9</v>
      </c>
      <c r="B122" s="2" t="s">
        <v>247</v>
      </c>
      <c r="C122" s="2"/>
      <c r="D122" s="2"/>
      <c r="E122" s="2"/>
      <c r="F122" s="2"/>
      <c r="G122" s="7"/>
      <c r="H122" s="2"/>
      <c r="I122" s="2"/>
      <c r="J122" s="5"/>
      <c r="K122" s="2"/>
    </row>
    <row r="123" spans="1:11" x14ac:dyDescent="0.3">
      <c r="A123" s="2" t="s">
        <v>9</v>
      </c>
      <c r="B123" s="2" t="s">
        <v>250</v>
      </c>
      <c r="C123" s="2" t="s">
        <v>251</v>
      </c>
      <c r="D123" s="2">
        <v>27.08</v>
      </c>
      <c r="E123" s="2">
        <v>325</v>
      </c>
      <c r="F123" s="6" t="s">
        <v>260</v>
      </c>
      <c r="G123" s="7">
        <f t="shared" si="2"/>
        <v>83.323076923076911</v>
      </c>
      <c r="H123" s="2"/>
      <c r="I123" s="2" t="s">
        <v>252</v>
      </c>
      <c r="J123" s="5" t="b">
        <v>1</v>
      </c>
      <c r="K123" s="2" t="b">
        <v>0</v>
      </c>
    </row>
    <row r="124" spans="1:11" x14ac:dyDescent="0.3">
      <c r="A124" s="2" t="s">
        <v>9</v>
      </c>
      <c r="B124" s="2" t="s">
        <v>253</v>
      </c>
      <c r="C124" s="2" t="s">
        <v>254</v>
      </c>
      <c r="D124" s="2">
        <v>16.02</v>
      </c>
      <c r="E124" s="2">
        <v>400</v>
      </c>
      <c r="F124" s="6" t="s">
        <v>260</v>
      </c>
      <c r="G124" s="7">
        <f t="shared" si="2"/>
        <v>40.050000000000004</v>
      </c>
      <c r="H124" s="2"/>
      <c r="I124" s="2" t="s">
        <v>12</v>
      </c>
      <c r="J124" s="5" t="b">
        <v>1</v>
      </c>
      <c r="K124" s="2" t="b">
        <v>0</v>
      </c>
    </row>
    <row r="125" spans="1:11" x14ac:dyDescent="0.3">
      <c r="A125" s="2" t="s">
        <v>9</v>
      </c>
      <c r="B125" s="2" t="s">
        <v>255</v>
      </c>
      <c r="C125" s="2" t="s">
        <v>256</v>
      </c>
      <c r="D125" s="2">
        <v>16.02</v>
      </c>
      <c r="E125" s="2">
        <v>400</v>
      </c>
      <c r="F125" s="6" t="s">
        <v>260</v>
      </c>
      <c r="G125" s="7">
        <f t="shared" si="2"/>
        <v>40.050000000000004</v>
      </c>
      <c r="H125" s="2"/>
      <c r="I125" s="2" t="s">
        <v>12</v>
      </c>
      <c r="J125" s="5" t="b">
        <v>1</v>
      </c>
      <c r="K125" s="2" t="b">
        <v>0</v>
      </c>
    </row>
    <row r="126" spans="1:11" x14ac:dyDescent="0.3">
      <c r="A126" s="2" t="s">
        <v>9</v>
      </c>
      <c r="B126" s="2" t="s">
        <v>201</v>
      </c>
      <c r="C126" s="2" t="s">
        <v>202</v>
      </c>
      <c r="D126" s="2">
        <v>13.43</v>
      </c>
      <c r="E126" s="2">
        <v>400</v>
      </c>
      <c r="F126" s="2" t="s">
        <v>260</v>
      </c>
      <c r="G126" s="7">
        <f t="shared" si="2"/>
        <v>33.575000000000003</v>
      </c>
      <c r="H126" s="2"/>
      <c r="I126" s="2" t="s">
        <v>12</v>
      </c>
      <c r="J126" s="5" t="b">
        <v>1</v>
      </c>
      <c r="K126" s="2" t="b">
        <v>0</v>
      </c>
    </row>
    <row r="127" spans="1:11" x14ac:dyDescent="0.3">
      <c r="A127" s="2" t="s">
        <v>9</v>
      </c>
      <c r="B127" s="2" t="s">
        <v>257</v>
      </c>
      <c r="C127" s="2" t="s">
        <v>258</v>
      </c>
      <c r="D127" s="2">
        <v>7</v>
      </c>
      <c r="E127" s="2">
        <v>1</v>
      </c>
      <c r="F127" s="6" t="s">
        <v>261</v>
      </c>
      <c r="G127" s="7"/>
      <c r="H127" s="2">
        <v>7</v>
      </c>
      <c r="I127" s="2" t="s">
        <v>17</v>
      </c>
      <c r="J127" s="5" t="b">
        <v>1</v>
      </c>
      <c r="K127" s="2" t="b">
        <v>0</v>
      </c>
    </row>
    <row r="128" spans="1:11" x14ac:dyDescent="0.3">
      <c r="A128" s="2" t="s">
        <v>9</v>
      </c>
      <c r="B128" s="2" t="s">
        <v>265</v>
      </c>
      <c r="C128" s="2" t="s">
        <v>259</v>
      </c>
      <c r="D128" s="2">
        <v>11</v>
      </c>
      <c r="E128" s="2">
        <v>75</v>
      </c>
      <c r="F128" s="6" t="s">
        <v>260</v>
      </c>
      <c r="G128" s="7">
        <f t="shared" si="2"/>
        <v>146.66666666666666</v>
      </c>
      <c r="H128" s="2"/>
      <c r="I128" s="2" t="s">
        <v>33</v>
      </c>
      <c r="J128" s="5" t="b">
        <v>1</v>
      </c>
      <c r="K128" s="2" t="b">
        <v>0</v>
      </c>
    </row>
    <row r="129" spans="1:11" x14ac:dyDescent="0.3">
      <c r="A129" s="2" t="s">
        <v>9</v>
      </c>
      <c r="B129" s="2" t="s">
        <v>245</v>
      </c>
      <c r="C129" s="2" t="s">
        <v>266</v>
      </c>
      <c r="D129" s="2">
        <v>8.3000000000000007</v>
      </c>
      <c r="E129" s="2">
        <v>420</v>
      </c>
      <c r="F129" s="6" t="s">
        <v>260</v>
      </c>
      <c r="G129" s="7">
        <f t="shared" ref="G129:G132" si="3">D129/E129*1000</f>
        <v>19.761904761904766</v>
      </c>
      <c r="H129" s="2"/>
      <c r="I129" s="2" t="s">
        <v>12</v>
      </c>
      <c r="J129" s="5" t="b">
        <v>1</v>
      </c>
      <c r="K129" s="2" t="b">
        <v>0</v>
      </c>
    </row>
    <row r="130" spans="1:11" x14ac:dyDescent="0.3">
      <c r="A130" s="2" t="s">
        <v>9</v>
      </c>
      <c r="B130" s="2" t="s">
        <v>267</v>
      </c>
      <c r="C130" s="2" t="s">
        <v>268</v>
      </c>
      <c r="D130" s="2">
        <v>22.95</v>
      </c>
      <c r="E130" s="2">
        <v>250</v>
      </c>
      <c r="F130" s="6" t="s">
        <v>260</v>
      </c>
      <c r="G130" s="7">
        <f t="shared" si="3"/>
        <v>91.8</v>
      </c>
      <c r="I130" s="2" t="s">
        <v>143</v>
      </c>
      <c r="J130" s="5" t="b">
        <v>1</v>
      </c>
      <c r="K130" s="2" t="b">
        <v>0</v>
      </c>
    </row>
    <row r="131" spans="1:11" x14ac:dyDescent="0.3">
      <c r="A131" s="2" t="s">
        <v>9</v>
      </c>
      <c r="B131" s="2" t="s">
        <v>269</v>
      </c>
      <c r="C131" s="2" t="s">
        <v>270</v>
      </c>
      <c r="D131" s="2">
        <v>13.1</v>
      </c>
      <c r="E131" s="9">
        <v>110</v>
      </c>
      <c r="F131" s="6" t="s">
        <v>260</v>
      </c>
      <c r="G131" s="7">
        <f t="shared" si="3"/>
        <v>119.09090909090909</v>
      </c>
      <c r="I131" s="2" t="s">
        <v>229</v>
      </c>
      <c r="J131" s="5" t="b">
        <v>1</v>
      </c>
      <c r="K131" s="2" t="b">
        <v>0</v>
      </c>
    </row>
    <row r="132" spans="1:11" x14ac:dyDescent="0.3">
      <c r="A132" s="2" t="s">
        <v>9</v>
      </c>
      <c r="B132" t="s">
        <v>272</v>
      </c>
      <c r="C132" s="2" t="s">
        <v>273</v>
      </c>
      <c r="D132" s="2">
        <v>14</v>
      </c>
      <c r="E132" s="2">
        <v>75</v>
      </c>
      <c r="F132" s="6" t="s">
        <v>260</v>
      </c>
      <c r="G132" s="7">
        <f t="shared" si="3"/>
        <v>186.66666666666669</v>
      </c>
      <c r="I132" s="2" t="s">
        <v>12</v>
      </c>
      <c r="J132" s="5" t="b">
        <v>0</v>
      </c>
      <c r="K132" s="2" t="b">
        <v>1</v>
      </c>
    </row>
    <row r="133" spans="1:11" x14ac:dyDescent="0.3">
      <c r="A133" s="2" t="s">
        <v>9</v>
      </c>
      <c r="B133" t="s">
        <v>271</v>
      </c>
      <c r="C133" s="2" t="s">
        <v>274</v>
      </c>
      <c r="D133" s="2">
        <v>10</v>
      </c>
      <c r="E133" s="2">
        <v>150</v>
      </c>
      <c r="F133" s="6" t="s">
        <v>260</v>
      </c>
      <c r="G133">
        <v>66.67</v>
      </c>
      <c r="I133" s="2" t="s">
        <v>12</v>
      </c>
      <c r="J133" s="5" t="b">
        <v>0</v>
      </c>
      <c r="K133" s="2" t="b">
        <v>1</v>
      </c>
    </row>
    <row r="134" spans="1:11" x14ac:dyDescent="0.3">
      <c r="A134" s="2" t="s">
        <v>9</v>
      </c>
      <c r="B134" s="2" t="s">
        <v>276</v>
      </c>
      <c r="C134" s="2" t="s">
        <v>277</v>
      </c>
      <c r="D134" s="2">
        <v>15.95</v>
      </c>
      <c r="E134" s="2">
        <v>144</v>
      </c>
      <c r="F134" s="6" t="s">
        <v>260</v>
      </c>
      <c r="G134">
        <v>110.76</v>
      </c>
      <c r="I134" s="2" t="s">
        <v>278</v>
      </c>
      <c r="J134" s="5" t="b">
        <v>1</v>
      </c>
      <c r="K134" s="2" t="b">
        <v>0</v>
      </c>
    </row>
    <row r="135" spans="1:11" x14ac:dyDescent="0.3">
      <c r="A135" s="2" t="s">
        <v>9</v>
      </c>
      <c r="B135" s="2" t="s">
        <v>279</v>
      </c>
      <c r="C135" s="2" t="s">
        <v>280</v>
      </c>
      <c r="D135" s="2">
        <v>22</v>
      </c>
      <c r="E135" s="2">
        <v>400</v>
      </c>
      <c r="F135" s="6" t="s">
        <v>260</v>
      </c>
      <c r="G135">
        <v>55</v>
      </c>
      <c r="I135" s="2" t="s">
        <v>12</v>
      </c>
      <c r="J135" s="5" t="b">
        <v>1</v>
      </c>
      <c r="K135" s="2" t="b">
        <v>0</v>
      </c>
    </row>
    <row r="136" spans="1:11" x14ac:dyDescent="0.3">
      <c r="A136" s="2" t="s">
        <v>9</v>
      </c>
      <c r="B136" s="2" t="s">
        <v>281</v>
      </c>
      <c r="C136" s="2" t="s">
        <v>282</v>
      </c>
      <c r="D136" s="2">
        <v>7.15</v>
      </c>
      <c r="E136" s="2">
        <v>300</v>
      </c>
      <c r="F136" s="6" t="s">
        <v>260</v>
      </c>
      <c r="G136">
        <v>23.83</v>
      </c>
      <c r="I136" s="2" t="s">
        <v>108</v>
      </c>
      <c r="J136" s="5" t="b">
        <v>1</v>
      </c>
      <c r="K136" s="2" t="b">
        <v>0</v>
      </c>
    </row>
    <row r="137" spans="1:11" x14ac:dyDescent="0.3">
      <c r="A137" s="2" t="s">
        <v>9</v>
      </c>
      <c r="B137" s="2" t="s">
        <v>283</v>
      </c>
    </row>
    <row r="138" spans="1:11" x14ac:dyDescent="0.3">
      <c r="A138" s="2" t="s">
        <v>9</v>
      </c>
      <c r="B138" s="2" t="s">
        <v>284</v>
      </c>
      <c r="C138" s="2" t="s">
        <v>285</v>
      </c>
      <c r="D138" s="2">
        <v>14.61</v>
      </c>
      <c r="E138" s="2">
        <v>480</v>
      </c>
      <c r="F138" s="6" t="s">
        <v>260</v>
      </c>
      <c r="G138">
        <v>30.44</v>
      </c>
      <c r="I138" s="2" t="s">
        <v>286</v>
      </c>
      <c r="J138" s="5" t="b">
        <v>1</v>
      </c>
      <c r="K138" t="b">
        <v>0</v>
      </c>
    </row>
    <row r="139" spans="1:11" x14ac:dyDescent="0.3">
      <c r="A139" s="2" t="s">
        <v>9</v>
      </c>
      <c r="B139" s="2" t="s">
        <v>288</v>
      </c>
      <c r="C139" s="2" t="s">
        <v>289</v>
      </c>
      <c r="D139" s="2">
        <v>21.95</v>
      </c>
      <c r="E139" s="2">
        <v>500</v>
      </c>
      <c r="F139" s="6" t="s">
        <v>262</v>
      </c>
      <c r="G139">
        <v>43.9</v>
      </c>
      <c r="I139" s="2" t="s">
        <v>167</v>
      </c>
      <c r="J139" s="5" t="b">
        <v>1</v>
      </c>
      <c r="K139" s="2" t="b">
        <v>0</v>
      </c>
    </row>
    <row r="140" spans="1:11" x14ac:dyDescent="0.3">
      <c r="A140" s="2" t="s">
        <v>9</v>
      </c>
      <c r="B140" s="2" t="s">
        <v>290</v>
      </c>
      <c r="C140" s="2" t="s">
        <v>291</v>
      </c>
      <c r="D140" s="2">
        <v>14.75</v>
      </c>
      <c r="E140" s="2">
        <v>500</v>
      </c>
      <c r="F140" s="6" t="s">
        <v>260</v>
      </c>
      <c r="G140">
        <v>29.5</v>
      </c>
      <c r="I140" s="2" t="s">
        <v>12</v>
      </c>
      <c r="J140" s="5" t="b">
        <v>1</v>
      </c>
      <c r="K140" s="2" t="b">
        <v>0</v>
      </c>
    </row>
    <row r="141" spans="1:11" x14ac:dyDescent="0.3">
      <c r="A141" s="2" t="s">
        <v>9</v>
      </c>
      <c r="B141" s="2" t="s">
        <v>292</v>
      </c>
      <c r="C141" s="2" t="s">
        <v>182</v>
      </c>
      <c r="D141" s="2">
        <v>19.95</v>
      </c>
      <c r="E141" s="2">
        <v>200</v>
      </c>
      <c r="F141" s="6" t="s">
        <v>260</v>
      </c>
      <c r="G141" s="7">
        <f t="shared" ref="G141" si="4">D141/E141*1000</f>
        <v>99.749999999999986</v>
      </c>
      <c r="H141" s="2"/>
      <c r="I141" s="2" t="s">
        <v>12</v>
      </c>
      <c r="J141" s="2" t="b">
        <v>1</v>
      </c>
      <c r="K141" s="2" t="b">
        <v>0</v>
      </c>
    </row>
    <row r="142" spans="1:11" x14ac:dyDescent="0.3">
      <c r="A142" s="2" t="s">
        <v>9</v>
      </c>
      <c r="B142" s="2" t="s">
        <v>293</v>
      </c>
      <c r="C142" s="2" t="s">
        <v>294</v>
      </c>
      <c r="D142" s="2">
        <v>16.190000000000001</v>
      </c>
      <c r="E142" s="2">
        <v>750</v>
      </c>
      <c r="F142" s="6" t="s">
        <v>260</v>
      </c>
      <c r="G142">
        <v>21.59</v>
      </c>
      <c r="I142" s="2" t="s">
        <v>12</v>
      </c>
      <c r="J142" s="5" t="b">
        <v>1</v>
      </c>
      <c r="K142" s="2" t="b">
        <v>0</v>
      </c>
    </row>
    <row r="143" spans="1:11" x14ac:dyDescent="0.3">
      <c r="A143" s="2" t="s">
        <v>9</v>
      </c>
      <c r="B143" s="2" t="s">
        <v>296</v>
      </c>
      <c r="C143" s="2" t="s">
        <v>295</v>
      </c>
      <c r="D143" s="2">
        <v>14.12</v>
      </c>
      <c r="E143" s="2">
        <v>690</v>
      </c>
      <c r="F143" s="6" t="s">
        <v>260</v>
      </c>
      <c r="G143">
        <v>20.46</v>
      </c>
      <c r="I143" s="2" t="s">
        <v>286</v>
      </c>
      <c r="J143" s="5" t="b">
        <v>1</v>
      </c>
      <c r="K143" s="2" t="b">
        <v>0</v>
      </c>
    </row>
    <row r="144" spans="1:11" x14ac:dyDescent="0.3">
      <c r="A144" s="2" t="s">
        <v>9</v>
      </c>
      <c r="B144" s="2" t="s">
        <v>297</v>
      </c>
      <c r="C144" s="2" t="s">
        <v>298</v>
      </c>
      <c r="D144" s="2">
        <v>13.41</v>
      </c>
      <c r="E144" s="2">
        <v>360</v>
      </c>
      <c r="F144" s="6" t="s">
        <v>260</v>
      </c>
      <c r="G144">
        <v>37.25</v>
      </c>
      <c r="I144" s="2" t="s">
        <v>12</v>
      </c>
      <c r="J144" s="5" t="b">
        <v>1</v>
      </c>
      <c r="K144" s="2" t="b">
        <v>0</v>
      </c>
    </row>
    <row r="145" spans="1:11" x14ac:dyDescent="0.3">
      <c r="A145" s="2" t="s">
        <v>9</v>
      </c>
      <c r="B145" s="2" t="s">
        <v>299</v>
      </c>
      <c r="C145" s="2" t="s">
        <v>300</v>
      </c>
      <c r="D145" s="2">
        <v>13.47</v>
      </c>
      <c r="E145" s="2">
        <v>270</v>
      </c>
      <c r="F145" s="6" t="s">
        <v>260</v>
      </c>
      <c r="G145">
        <v>49.89</v>
      </c>
      <c r="I145" s="2" t="s">
        <v>108</v>
      </c>
      <c r="J145" s="5" t="b">
        <v>1</v>
      </c>
      <c r="K145" s="2" t="b">
        <v>0</v>
      </c>
    </row>
    <row r="146" spans="1:11" x14ac:dyDescent="0.3">
      <c r="A146" s="2" t="s">
        <v>9</v>
      </c>
      <c r="B146" s="2" t="s">
        <v>301</v>
      </c>
      <c r="C146" s="2" t="s">
        <v>302</v>
      </c>
      <c r="D146" s="2">
        <v>16.72</v>
      </c>
      <c r="E146" s="2">
        <v>225</v>
      </c>
      <c r="F146" s="6" t="s">
        <v>260</v>
      </c>
      <c r="G146">
        <v>74.31</v>
      </c>
      <c r="I146" s="2" t="s">
        <v>12</v>
      </c>
      <c r="J146" s="5" t="b">
        <v>1</v>
      </c>
      <c r="K146" s="2" t="b">
        <v>0</v>
      </c>
    </row>
    <row r="147" spans="1:11" x14ac:dyDescent="0.3">
      <c r="A147" s="2" t="s">
        <v>9</v>
      </c>
      <c r="B147" s="2" t="s">
        <v>303</v>
      </c>
      <c r="C147" s="2" t="s">
        <v>304</v>
      </c>
      <c r="D147" s="2">
        <v>49.95</v>
      </c>
      <c r="E147" s="2">
        <v>500</v>
      </c>
      <c r="F147" s="6" t="s">
        <v>260</v>
      </c>
      <c r="G147">
        <v>99.9</v>
      </c>
      <c r="I147" s="2" t="s">
        <v>305</v>
      </c>
      <c r="J147" s="5" t="b">
        <v>0</v>
      </c>
      <c r="K147" s="2" t="b">
        <v>0</v>
      </c>
    </row>
    <row r="148" spans="1:11" x14ac:dyDescent="0.3">
      <c r="A148" s="2" t="s">
        <v>9</v>
      </c>
      <c r="B148" s="2" t="s">
        <v>306</v>
      </c>
      <c r="C148" s="2" t="s">
        <v>307</v>
      </c>
      <c r="D148" s="2">
        <v>22</v>
      </c>
      <c r="E148" s="2">
        <v>400</v>
      </c>
      <c r="F148" s="6" t="s">
        <v>260</v>
      </c>
      <c r="G148">
        <v>55</v>
      </c>
      <c r="I148" s="2" t="s">
        <v>12</v>
      </c>
      <c r="J148" s="5" t="b">
        <v>0</v>
      </c>
      <c r="K148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Roland Stegeager</dc:creator>
  <cp:lastModifiedBy>Lukas Roland Stegeager</cp:lastModifiedBy>
  <dcterms:created xsi:type="dcterms:W3CDTF">2026-03-31T09:25:50Z</dcterms:created>
  <dcterms:modified xsi:type="dcterms:W3CDTF">2026-04-20T12:09:30Z</dcterms:modified>
</cp:coreProperties>
</file>